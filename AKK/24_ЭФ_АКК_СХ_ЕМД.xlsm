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2DATA\Downloads\"/>
    </mc:Choice>
  </mc:AlternateContent>
  <xr:revisionPtr revIDLastSave="0" documentId="13_ncr:1_{FE6B738C-5312-45E4-8DFF-1418D35A78DC}" xr6:coauthVersionLast="47" xr6:coauthVersionMax="47" xr10:uidLastSave="{00000000-0000-0000-0000-000000000000}"/>
  <bookViews>
    <workbookView xWindow="28680" yWindow="-120" windowWidth="29040" windowHeight="15720" activeTab="1" xr2:uid="{4E0E10A6-6772-43A9-9CE9-10A6E6AA920E}"/>
  </bookViews>
  <sheets>
    <sheet name="АКК СХ_Парам" sheetId="11" r:id="rId1"/>
    <sheet name="АКК СХ_ЭФ" sheetId="10" r:id="rId2"/>
  </sheets>
  <definedNames>
    <definedName name="_xlnm._FilterDatabase" localSheetId="0" hidden="1">'АКК СХ_Парам'!$A$4:$T$156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" i="11" l="1"/>
  <c r="I7" i="11"/>
  <c r="I5" i="11"/>
  <c r="I6" i="11"/>
  <c r="I8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</calcChain>
</file>

<file path=xl/sharedStrings.xml><?xml version="1.0" encoding="utf-8"?>
<sst xmlns="http://schemas.openxmlformats.org/spreadsheetml/2006/main" count="1539" uniqueCount="391">
  <si>
    <t>№</t>
  </si>
  <si>
    <t>Паспорт проекта</t>
  </si>
  <si>
    <t>Область реализации проекта (если за пределами Республики Казахстан-наименование страны)</t>
  </si>
  <si>
    <t>Информация о заемщике</t>
  </si>
  <si>
    <t>Контакты заявителя</t>
  </si>
  <si>
    <t>Телефон</t>
  </si>
  <si>
    <t>Финансовый раздел</t>
  </si>
  <si>
    <t>валюта</t>
  </si>
  <si>
    <t>Структура финансирования</t>
  </si>
  <si>
    <t>Источник фондирования Холдинга</t>
  </si>
  <si>
    <t>Способ привлечения фондирования, (выбрать из списка)</t>
  </si>
  <si>
    <t>Заполняется только для средств из РБ</t>
  </si>
  <si>
    <t>Наименование ЦГО (список)</t>
  </si>
  <si>
    <t>Полное наименование программы</t>
  </si>
  <si>
    <t>Наменование НПА, которым утвержден документ</t>
  </si>
  <si>
    <t>Дата</t>
  </si>
  <si>
    <t>Ставка привлечения, % (при фиксированной)</t>
  </si>
  <si>
    <t>Ставка привлечения, (при плавающей)</t>
  </si>
  <si>
    <t>Индекс</t>
  </si>
  <si>
    <t>Спред</t>
  </si>
  <si>
    <t>Условия финансирования проекта</t>
  </si>
  <si>
    <t>Наименование ДО/ДЗО АО "НИХ "Байтерек"</t>
  </si>
  <si>
    <t xml:space="preserve">Вид организации (выбрать из списка если применимо) </t>
  </si>
  <si>
    <t>Вид валюты (выбрать из списка)</t>
  </si>
  <si>
    <t>дни (дата окончания минус дата заключения)</t>
  </si>
  <si>
    <t>Кредитный процесс</t>
  </si>
  <si>
    <t>Статус заявки/проекта (на рассмотрении/на экспертизе (этап)/на подписании/одобрен/на финансировании/снят с рассмотрения/погашен и т.п.)</t>
  </si>
  <si>
    <t>Номер решения УО об одобрении проекта</t>
  </si>
  <si>
    <t>Освоение</t>
  </si>
  <si>
    <t>Доля освоения, %</t>
  </si>
  <si>
    <t>План</t>
  </si>
  <si>
    <t>Факт</t>
  </si>
  <si>
    <t>Качество порфтеля и риск показатели</t>
  </si>
  <si>
    <t>в т.ч. просроченная задолженность</t>
  </si>
  <si>
    <t>Дисконт (-), премия (+), отрицательная (-), положительная (+) корректировка стоимости займа</t>
  </si>
  <si>
    <t>Пеня, штрафы, тенге</t>
  </si>
  <si>
    <t>Количество дней просрочки</t>
  </si>
  <si>
    <t>Стадия (МСФО 9)</t>
  </si>
  <si>
    <t>Провизии, %</t>
  </si>
  <si>
    <t>Провизии, тенге</t>
  </si>
  <si>
    <t>Основные условия по реструктуризации</t>
  </si>
  <si>
    <t>Социально-экономические эффекты</t>
  </si>
  <si>
    <t>факт</t>
  </si>
  <si>
    <t>план</t>
  </si>
  <si>
    <t>Встречные обязательства</t>
  </si>
  <si>
    <t>Текущий статус</t>
  </si>
  <si>
    <t>ФИО и номер телефона ответ. сотрудника ДО/ДЗО по проекту</t>
  </si>
  <si>
    <t>Скозной
№
атрибута ЕМД</t>
  </si>
  <si>
    <t>Системный
код
атрибута ЕМД</t>
  </si>
  <si>
    <t>Формула композиции названия атрибута</t>
  </si>
  <si>
    <t>Текст композиции названия атрибута</t>
  </si>
  <si>
    <t>Тип атрибута
по значению:
/Строка/
/Дата/
/Целое число/
/Дробное число/
/Логический/
/Бинарный/</t>
  </si>
  <si>
    <t>Тип атрибута
по формату
значения:
/Свободный/
/Форматный/
/Справочный/</t>
  </si>
  <si>
    <t>Системный код
справочника
(Справочники приведены в представлении справочников)</t>
  </si>
  <si>
    <t>Тип атрибута
по структуре:
/Простой/
/Составной/</t>
  </si>
  <si>
    <t>Тип атрибута
по количеству
значений:
/ОДИНАРНЫЙ/
/МНОЖЕСТВЕННЫЙ/</t>
  </si>
  <si>
    <t>Тип атрибута
по принадлежности к учету:
/УЧЕТНЫЙ/
/СИСТЕМНЫЙ/</t>
  </si>
  <si>
    <t>Метаданные атрибутов ввода</t>
  </si>
  <si>
    <t>Обязательность ввода:
ДА/НЕТ</t>
  </si>
  <si>
    <t>Статус принадлежности
атрибута к
Презент-логике:
ДА/НЕТ</t>
  </si>
  <si>
    <t>Статус принадлежности
атрибута к
Бизнес-логике:
ДА/НЕТ</t>
  </si>
  <si>
    <t>Одобренная сумма, тенге</t>
  </si>
  <si>
    <t>Совокупный объем освоенных средств за весь период с начала финансирования проекта, тенге</t>
  </si>
  <si>
    <t>по основному долгу, тенге</t>
  </si>
  <si>
    <t>по вознаграждению, тенге</t>
  </si>
  <si>
    <t>Классификация проекта (стандартный/проблемный/погашен)</t>
  </si>
  <si>
    <t>Тип ставки привлечения, (фиксированная/плавающая)</t>
  </si>
  <si>
    <t>Краткое описание решений Уполномоченного органа ДО/ДЗО/поручения Правительства или ГО относительно проблемных вопросов (при наличии)</t>
  </si>
  <si>
    <t>Номер СОКЛ/договора/догова банковской гарантии</t>
  </si>
  <si>
    <t>Участие в государственных программах развития (наименование документа, номер и дата/либо не участвует)</t>
  </si>
  <si>
    <t>Дальнейший План мероприятий/предложения/видение ДО/ДЗО по оздоровлению проекта (прикрепить соответствующий документ)</t>
  </si>
  <si>
    <t>Строка</t>
  </si>
  <si>
    <t>Целое число</t>
  </si>
  <si>
    <t>Дробное число</t>
  </si>
  <si>
    <t>Свободный</t>
  </si>
  <si>
    <t>Форматный</t>
  </si>
  <si>
    <t>Справочный</t>
  </si>
  <si>
    <t>Простой</t>
  </si>
  <si>
    <t>Составной</t>
  </si>
  <si>
    <t>ОДИНАРНЫЙ</t>
  </si>
  <si>
    <t>МНОЖЕСТВЕННЫЙ</t>
  </si>
  <si>
    <t>УЧЕТНЫЙ</t>
  </si>
  <si>
    <t>СИСТЕМНЫЙ</t>
  </si>
  <si>
    <t>ДА</t>
  </si>
  <si>
    <t>НЕТ</t>
  </si>
  <si>
    <t>ГЕНЕРАЦИЯ</t>
  </si>
  <si>
    <t>ВВОД</t>
  </si>
  <si>
    <t>Тип атрибута по способу формирования значения:
ВВОД/
ГЕНЕРАЦИЯ</t>
  </si>
  <si>
    <t>Дата ввода</t>
  </si>
  <si>
    <t>Оператор ввода</t>
  </si>
  <si>
    <t>ID Проекта</t>
  </si>
  <si>
    <t>№ Проекта</t>
  </si>
  <si>
    <t>Способ привлечения фондирования, (выбрать из списка).Пополнение УК за счет бюджетных средств</t>
  </si>
  <si>
    <t>Место реализации проекта</t>
  </si>
  <si>
    <t>I-й уровень декомпозиции</t>
  </si>
  <si>
    <t>II-й уровень декомпозиции</t>
  </si>
  <si>
    <t>III-й уровень декомпозиции</t>
  </si>
  <si>
    <t>VI-й уровень декомпозиции</t>
  </si>
  <si>
    <t>V-й уровень декомпозиции</t>
  </si>
  <si>
    <t>Освоение средств по годам</t>
  </si>
  <si>
    <t>Год (ГГГГ)</t>
  </si>
  <si>
    <t xml:space="preserve">Вид экономической деятельности (указать ОКЭД на 2 знаках ) </t>
  </si>
  <si>
    <t xml:space="preserve">ФИО </t>
  </si>
  <si>
    <t>Планируемый объем финансирования (стоимость проекта), тенге</t>
  </si>
  <si>
    <t>Планируемый объем финансирования (в случае валютного финансирования), валюта</t>
  </si>
  <si>
    <t xml:space="preserve">Собственные средства, (физические и юридические лица РК, прямые иностранные инвестиции физических и юридических лиц),
 тенге (если применимо) </t>
  </si>
  <si>
    <t>Источник средств, (выбрать из списка один или несколько)</t>
  </si>
  <si>
    <t xml:space="preserve">Наименование ФЭО </t>
  </si>
  <si>
    <t>№ бюджетной программы</t>
  </si>
  <si>
    <t xml:space="preserve">Дата Приказа ГО </t>
  </si>
  <si>
    <t xml:space="preserve">№ Приказа ГО </t>
  </si>
  <si>
    <t>Наименование организации через которое ДО/ДЗО осуществляетс финансирование (если применимо)</t>
  </si>
  <si>
    <t>Ставка вознаграждени для конечного заемщикая, %</t>
  </si>
  <si>
    <t>Дата подачи заявки</t>
  </si>
  <si>
    <t>Дата одобрения/отклонения заявки</t>
  </si>
  <si>
    <t>Дата решения УО об одобрении проекта</t>
  </si>
  <si>
    <t>Дата СОКЛ/договора/догова банковской гарантии</t>
  </si>
  <si>
    <t>Дата начала финансирования</t>
  </si>
  <si>
    <t>Остаток задолженности предприятия - получателя финансовой поддержки перед ДО</t>
  </si>
  <si>
    <t xml:space="preserve">по вознаграждению, тенге </t>
  </si>
  <si>
    <t xml:space="preserve">Категория учета (амортизированная/справедливая) </t>
  </si>
  <si>
    <t>Дата реструктуризации</t>
  </si>
  <si>
    <t>Текущее количество рабочих мест, занятых на предприятии, ед.</t>
  </si>
  <si>
    <t>факт (кумулятивно за все года)</t>
  </si>
  <si>
    <t>Количество созданных рабочих мест, ед.</t>
  </si>
  <si>
    <t>Уплаченные налоги и другие обязательные платежи в бюджет, тенге</t>
  </si>
  <si>
    <t xml:space="preserve"> Текущее состояние</t>
  </si>
  <si>
    <t xml:space="preserve"> Проблемные вопросы</t>
  </si>
  <si>
    <t>Параметрическое представление атрибутов ЕМД "АКК СХ"</t>
  </si>
  <si>
    <t>Наименование заемщика СХТП</t>
  </si>
  <si>
    <t>БИН/ИИН СХТП</t>
  </si>
  <si>
    <t>Организационно-правовая форма предприятия-заемщика (АО, ТОО, КХ, ИП и тд.)</t>
  </si>
  <si>
    <t>Размерность предприятия-заемщика СХТП, согласно критериев Предпринимательского кодекса РК (Код КРП с учетом филиалов)</t>
  </si>
  <si>
    <t>Целевое назначение</t>
  </si>
  <si>
    <t>ОКЭД по проекту (числовое значение - 5 знаков, возможно исключение для С/Х числовое значение - 3 знаков)</t>
  </si>
  <si>
    <t>Планируемая мощность</t>
  </si>
  <si>
    <t>Наименование продукции</t>
  </si>
  <si>
    <t>Колич. Значение</t>
  </si>
  <si>
    <t>Ед.изм., га., тонн, поголовье и тд.</t>
  </si>
  <si>
    <t>Фактическая мощность</t>
  </si>
  <si>
    <t>сумма</t>
  </si>
  <si>
    <t>Сумма финансовой поддержки от ДО/ДЗО Холдинга (плановая), тенге</t>
  </si>
  <si>
    <t>Сумма по источнику средств, тенге</t>
  </si>
  <si>
    <t>Наименование программы финансирования в ДО/ДЗО АО "НИХ "Байтерек"</t>
  </si>
  <si>
    <t>Пополнение оборотных средств</t>
  </si>
  <si>
    <t xml:space="preserve">Срок займа/предоставленной финансовой поддержки, количество месяцев </t>
  </si>
  <si>
    <t>Дата заключения договора займа</t>
  </si>
  <si>
    <t>Дата окончания срока действия договора займа согласно графику погашения</t>
  </si>
  <si>
    <t xml:space="preserve">Дата фактического погашения кредита, заполняется если ПРОЕКТ погашен </t>
  </si>
  <si>
    <t>Объем продукции в ед. измерения (тонна, литр и тд.)</t>
  </si>
  <si>
    <t>ед. измерения</t>
  </si>
  <si>
    <t>Количество рабочих мест, ед.</t>
  </si>
  <si>
    <t>AKKEMD_001</t>
  </si>
  <si>
    <t>AKKEMD_002</t>
  </si>
  <si>
    <t>AKKEMD_003</t>
  </si>
  <si>
    <t>AKKEMD_004</t>
  </si>
  <si>
    <t>AKKEMD_005</t>
  </si>
  <si>
    <t>AKKEMD_006</t>
  </si>
  <si>
    <t>AKKEMD_007</t>
  </si>
  <si>
    <t>AKKEMD_008</t>
  </si>
  <si>
    <t>AKKEMD_009</t>
  </si>
  <si>
    <t>AKKEMD_010</t>
  </si>
  <si>
    <t>AKKEMD_011</t>
  </si>
  <si>
    <t>AKKEMD_012</t>
  </si>
  <si>
    <t>AKKEMD_013</t>
  </si>
  <si>
    <t>AKKEMD_014</t>
  </si>
  <si>
    <t>AKKEMD_015</t>
  </si>
  <si>
    <t>AKKEMD_016</t>
  </si>
  <si>
    <t>AKKEMD_017</t>
  </si>
  <si>
    <t>AKKEMD_018</t>
  </si>
  <si>
    <t>AKKEMD_019</t>
  </si>
  <si>
    <t>AKKEMD_020</t>
  </si>
  <si>
    <t>AKKEMD_021</t>
  </si>
  <si>
    <t>AKKEMD_022</t>
  </si>
  <si>
    <t>AKKEMD_023</t>
  </si>
  <si>
    <t>AKKEMD_024</t>
  </si>
  <si>
    <t>AKKEMD_025</t>
  </si>
  <si>
    <t>AKKEMD_026</t>
  </si>
  <si>
    <t>AKKEMD_027</t>
  </si>
  <si>
    <t>AKKEMD_028</t>
  </si>
  <si>
    <t>AKKEMD_029</t>
  </si>
  <si>
    <t>AKKEMD_030</t>
  </si>
  <si>
    <t>AKKEMD_031</t>
  </si>
  <si>
    <t>AKKEMD_032</t>
  </si>
  <si>
    <t>AKKEMD_033</t>
  </si>
  <si>
    <t>AKKEMD_034</t>
  </si>
  <si>
    <t>AKKEMD_035</t>
  </si>
  <si>
    <t>AKKEMD_036</t>
  </si>
  <si>
    <t>AKKEMD_037</t>
  </si>
  <si>
    <t>AKKEMD_038</t>
  </si>
  <si>
    <t>AKKEMD_039</t>
  </si>
  <si>
    <t>AKKEMD_040</t>
  </si>
  <si>
    <t>AKKEMD_041</t>
  </si>
  <si>
    <t>AKKEMD_042</t>
  </si>
  <si>
    <t>AKKEMD_043</t>
  </si>
  <si>
    <t>AKKEMD_044</t>
  </si>
  <si>
    <t>AKKEMD_045</t>
  </si>
  <si>
    <t>AKKEMD_046</t>
  </si>
  <si>
    <t>AKKEMD_047</t>
  </si>
  <si>
    <t>AKKEMD_048</t>
  </si>
  <si>
    <t>AKKEMD_049</t>
  </si>
  <si>
    <t>AKKEMD_050</t>
  </si>
  <si>
    <t>AKKEMD_051</t>
  </si>
  <si>
    <t>AKKEMD_052</t>
  </si>
  <si>
    <t>AKKEMD_053</t>
  </si>
  <si>
    <t>AKKEMD_054</t>
  </si>
  <si>
    <t>AKKEMD_055</t>
  </si>
  <si>
    <t>AKKEMD_056</t>
  </si>
  <si>
    <t>AKKEMD_057</t>
  </si>
  <si>
    <t>AKKEMD_058</t>
  </si>
  <si>
    <t>AKKEMD_059</t>
  </si>
  <si>
    <t>AKKEMD_060</t>
  </si>
  <si>
    <t>AKKEMD_061</t>
  </si>
  <si>
    <t>AKKEMD_062</t>
  </si>
  <si>
    <t>AKKEMD_063</t>
  </si>
  <si>
    <t>AKKEMD_064</t>
  </si>
  <si>
    <t>AKKEMD_065</t>
  </si>
  <si>
    <t>AKKEMD_066</t>
  </si>
  <si>
    <t>AKKEMD_067</t>
  </si>
  <si>
    <t>AKKEMD_068</t>
  </si>
  <si>
    <t>AKKEMD_069</t>
  </si>
  <si>
    <t>AKKEMD_070</t>
  </si>
  <si>
    <t>AKKEMD_071</t>
  </si>
  <si>
    <t>AKKEMD_072</t>
  </si>
  <si>
    <t>AKKEMD_073</t>
  </si>
  <si>
    <t>AKKEMD_074</t>
  </si>
  <si>
    <t>AKKEMD_075</t>
  </si>
  <si>
    <t>AKKEMD_076</t>
  </si>
  <si>
    <t>AKKEMD_077</t>
  </si>
  <si>
    <t>AKKEMD_078</t>
  </si>
  <si>
    <t>AKKEMD_079</t>
  </si>
  <si>
    <t>AKKEMD_080</t>
  </si>
  <si>
    <t>AKKEMD_081</t>
  </si>
  <si>
    <t>AKKEMD_082</t>
  </si>
  <si>
    <t>AKKEMD_083</t>
  </si>
  <si>
    <t>AKKEMD_084</t>
  </si>
  <si>
    <t>AKKEMD_085</t>
  </si>
  <si>
    <t>AKKEMD_086</t>
  </si>
  <si>
    <t>AKKEMD_087</t>
  </si>
  <si>
    <t>AKKEMD_088</t>
  </si>
  <si>
    <t>AKKEMD_089</t>
  </si>
  <si>
    <t>AKKEMD_090</t>
  </si>
  <si>
    <t>AKKEMD_091</t>
  </si>
  <si>
    <t>AKKEMD_092</t>
  </si>
  <si>
    <t>AKKEMD_093</t>
  </si>
  <si>
    <t>AKKEMD_094</t>
  </si>
  <si>
    <t>AKKEMD_095</t>
  </si>
  <si>
    <t>AKKEMD_096</t>
  </si>
  <si>
    <t>AKKEMD_097</t>
  </si>
  <si>
    <t>AKKEMD_098</t>
  </si>
  <si>
    <t>AKKEMD_099</t>
  </si>
  <si>
    <t>AKKEMD_100</t>
  </si>
  <si>
    <t>AKKEMD_101</t>
  </si>
  <si>
    <t>AKKEMD_102</t>
  </si>
  <si>
    <t>AKKEMD_103</t>
  </si>
  <si>
    <t>AKKEMD_104</t>
  </si>
  <si>
    <t>AKKEMD_105</t>
  </si>
  <si>
    <t>AKKEMD_106</t>
  </si>
  <si>
    <t>AKKEMD_107</t>
  </si>
  <si>
    <t>AKKEMD_108</t>
  </si>
  <si>
    <t>AKKEMD_109</t>
  </si>
  <si>
    <t>AKKEMD_110</t>
  </si>
  <si>
    <t>AKKEMD_111</t>
  </si>
  <si>
    <t>AKKEMD_112</t>
  </si>
  <si>
    <t>AKKEMD_113</t>
  </si>
  <si>
    <t>AKKEMD_114</t>
  </si>
  <si>
    <t>AKKEMD_115</t>
  </si>
  <si>
    <t>AKKEMD_116</t>
  </si>
  <si>
    <t>AKKEMD_117</t>
  </si>
  <si>
    <t>AKKEMD_118</t>
  </si>
  <si>
    <t>AKKEMD_119</t>
  </si>
  <si>
    <t>AKKEMD_120</t>
  </si>
  <si>
    <t>AKKEMD_121</t>
  </si>
  <si>
    <t>AKKEMD_122</t>
  </si>
  <si>
    <t>AKKEMD_123</t>
  </si>
  <si>
    <t>AKKEMD_124</t>
  </si>
  <si>
    <t>AKKEMD_125</t>
  </si>
  <si>
    <t>AKKEMD_126</t>
  </si>
  <si>
    <t>AKKEMD_127</t>
  </si>
  <si>
    <t>AKKEMD_128</t>
  </si>
  <si>
    <t>AKKEMD_129</t>
  </si>
  <si>
    <t>AKKEMD_130</t>
  </si>
  <si>
    <t>AKKEMD_131</t>
  </si>
  <si>
    <t>Источник средств, (выбрать из списка один или несколько).Собственные средства ДО</t>
  </si>
  <si>
    <t>Вид организации (выбрать из списка если применимо) .Кредитное товарищество</t>
  </si>
  <si>
    <t>город</t>
  </si>
  <si>
    <t>район</t>
  </si>
  <si>
    <t>Учетный статус Проекта</t>
  </si>
  <si>
    <t>Класс проекта</t>
  </si>
  <si>
    <t>AKKEMD_132</t>
  </si>
  <si>
    <t>AKKEMD_133</t>
  </si>
  <si>
    <t>AKKEMD_134</t>
  </si>
  <si>
    <t>AKKEMD_135</t>
  </si>
  <si>
    <t xml:space="preserve">Данные по остаткам </t>
  </si>
  <si>
    <t>Дата ввода информации по задолженности</t>
  </si>
  <si>
    <t>AKKEMD_136</t>
  </si>
  <si>
    <t>AKKEMD_137</t>
  </si>
  <si>
    <t>SPR044</t>
  </si>
  <si>
    <t>SPR042</t>
  </si>
  <si>
    <t>SPR001</t>
  </si>
  <si>
    <t>SPR003</t>
  </si>
  <si>
    <t>SPR004</t>
  </si>
  <si>
    <t>SPR022</t>
  </si>
  <si>
    <t>SPR006</t>
  </si>
  <si>
    <t>SPR015</t>
  </si>
  <si>
    <t>SPR011</t>
  </si>
  <si>
    <t>SPR029</t>
  </si>
  <si>
    <t>SPR038</t>
  </si>
  <si>
    <t>SPR034</t>
  </si>
  <si>
    <t>SPR017</t>
  </si>
  <si>
    <t>SPR030</t>
  </si>
  <si>
    <t>SPR031</t>
  </si>
  <si>
    <t>SPR040</t>
  </si>
  <si>
    <t>SPR041</t>
  </si>
  <si>
    <t>Мощность проекта</t>
  </si>
  <si>
    <t>Реструктуризация</t>
  </si>
  <si>
    <t>AKKEMD_138</t>
  </si>
  <si>
    <t>AKKEMD_139</t>
  </si>
  <si>
    <t>SPR045</t>
  </si>
  <si>
    <t>SPR049</t>
  </si>
  <si>
    <t>SPR046</t>
  </si>
  <si>
    <t>SPR047</t>
  </si>
  <si>
    <t>SPR016</t>
  </si>
  <si>
    <t>SPR050</t>
  </si>
  <si>
    <t>Договор</t>
  </si>
  <si>
    <t>СОКЛ/договор/договор банковской гарантии</t>
  </si>
  <si>
    <t>IV-й уровень декомпозиции</t>
  </si>
  <si>
    <t>Год отчетного периода</t>
  </si>
  <si>
    <t>план (кумулятивно за все года)</t>
  </si>
  <si>
    <t>AKKEMD_140</t>
  </si>
  <si>
    <t>AKKEMD_141</t>
  </si>
  <si>
    <t>AKKEMD_142</t>
  </si>
  <si>
    <t>AKKEMD_143</t>
  </si>
  <si>
    <t>AKKEMD_144</t>
  </si>
  <si>
    <t>AKKEMD_145</t>
  </si>
  <si>
    <t>AKKEMD_146</t>
  </si>
  <si>
    <t>AKKEMD_147</t>
  </si>
  <si>
    <t>AKKEMD_148</t>
  </si>
  <si>
    <t>Статус участия в гос. программах:</t>
  </si>
  <si>
    <t>SPR052</t>
  </si>
  <si>
    <t>Файл</t>
  </si>
  <si>
    <t>AKKEMD_149</t>
  </si>
  <si>
    <t>AKKEMD_150</t>
  </si>
  <si>
    <t>Базовая категория проекта</t>
  </si>
  <si>
    <t>Документ дальнейшего Плана мероприятий/предложения/видение ДО/ДЗО по оздоровлению проекта</t>
  </si>
  <si>
    <t>Наименование организации через которое ДО/ДЗО осуществляется финансирование (если применимо)</t>
  </si>
  <si>
    <t>Ед.изм</t>
  </si>
  <si>
    <t>Собственные средства</t>
  </si>
  <si>
    <t>Тип ставки привлечения</t>
  </si>
  <si>
    <t>Статус заявки/проекта</t>
  </si>
  <si>
    <t>Категория учета</t>
  </si>
  <si>
    <t>Текущее состояние - статус проекта
(для проектов на стадии реализации необходимо выбрать из списка.
для реализованных проектов необходимо конкретизировать проведенные работы по проекту за квартал текущего года;
в случае простоя либо планируемого исключения проекта из ЕКИ подробно расписать причины)</t>
  </si>
  <si>
    <t>Проблемные вопросы: (подробное описание текущей проблемы, а также ответственного государственного органа отвечающего за ее решение)</t>
  </si>
  <si>
    <t xml:space="preserve">Классификация проекта </t>
  </si>
  <si>
    <t>AKKEMD_007 - Информация о заемщике</t>
  </si>
  <si>
    <t>AKKEMD_012 - Контакты заявителя</t>
  </si>
  <si>
    <t>AKKEMD_015 - Паспорт проекта</t>
  </si>
  <si>
    <t>AKKEMD_018 - Место реализации проекта</t>
  </si>
  <si>
    <t>AKKEMD_024 - Мощность проекта</t>
  </si>
  <si>
    <t>AKKEMD_033 - Финансовый раздел</t>
  </si>
  <si>
    <t>AKKEMD_035 - Планируемый объем финансирования (в случае валютного финансирования), валюта</t>
  </si>
  <si>
    <t>AKKEMD_038 - Структура финансирования</t>
  </si>
  <si>
    <t>AKKEMD_041 - Источник фондирования Холдинга</t>
  </si>
  <si>
    <t>AKKEMD_062 - Условия финансирования проекта</t>
  </si>
  <si>
    <t>AKKEMD_071- Кредитный процесс</t>
  </si>
  <si>
    <t>AKKEMD_108 - Освоение</t>
  </si>
  <si>
    <t>AKKEMD_111 - Освоение средств по годам</t>
  </si>
  <si>
    <t>AKKEMD_116 - Объем продукции в ед. измерения (тонна, литр и тд.)</t>
  </si>
  <si>
    <t>AKKEMD_145 - Текущий статус</t>
  </si>
  <si>
    <t>Основная характристика проекта</t>
  </si>
  <si>
    <t>PID-001</t>
  </si>
  <si>
    <t>PID-002</t>
  </si>
  <si>
    <t>PID-003</t>
  </si>
  <si>
    <t>Учетный статус Проекта
(справочный)</t>
  </si>
  <si>
    <t>Класс проекта
(справочный)</t>
  </si>
  <si>
    <t>Базовая категория проекта
(справочный)</t>
  </si>
  <si>
    <t>Организационно-правовая форма предприятия-заемщика (АО, ТОО, КХ, ИП и тд.)
(справочный)</t>
  </si>
  <si>
    <t>Размерность предприятия-заемщика СХТП, согласно критериев Предпринимательского кодекса РК (Код КРП с учетом филиалов)
(справочный)</t>
  </si>
  <si>
    <t>Область реализации проекта (если за пределами Республики Казахстан-наименование страны)
(справочный)</t>
  </si>
  <si>
    <t>город
(справочный)</t>
  </si>
  <si>
    <t>район
(справочный)</t>
  </si>
  <si>
    <t>Вид экономической деятельности (указать ОКЭД на 2 знаках )
(справочный)</t>
  </si>
  <si>
    <t>ОКЭД по проекту (числовое значение - 5 знаков, возможно исключение для С/Х числовое значение - 3 знаков)
(справочный)</t>
  </si>
  <si>
    <t>Классификация проекта
(справочный)</t>
  </si>
  <si>
    <t>Проблемные вопросы: (подробное описание текущей проблемы, а также ответственного государственного органа отвечающего за ее решение)
(справочный)</t>
  </si>
  <si>
    <t>Текущее состояние - статус проекта
(для реализованных проектов необходимо конкретизировать проведенные работы по проекту за квартал текущего года;
в случае простоя либо планируемого исключения проекта из ЕКИ подробно расписать причины)
(справочный)</t>
  </si>
  <si>
    <t>ID Заявки</t>
  </si>
  <si>
    <t>ID Коробочного проекта</t>
  </si>
  <si>
    <t>PID Инвестпроекта</t>
  </si>
  <si>
    <t>AKKEMD_151</t>
  </si>
  <si>
    <t>AKKEMD_152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</si>
</sst>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"/>
  </numFmts>
  <fonts count="20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rgb="FFC0000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204"/>
    </font>
    <font>
      <sz val="11"/>
      <name val="Arial"/>
      <family val="2"/>
      <charset val="204"/>
    </font>
    <font>
      <b/>
      <sz val="11"/>
      <color rgb="FF0070C0"/>
      <name val="Arial"/>
      <family val="2"/>
      <charset val="204"/>
    </font>
    <font>
      <b/>
      <sz val="14"/>
      <color rgb="FF0070C0"/>
      <name val="Arial"/>
      <family val="2"/>
      <charset val="204"/>
    </font>
    <font>
      <b/>
      <sz val="9"/>
      <color rgb="FFC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FF0000"/>
      <name val="Arial"/>
      <family val="2"/>
      <charset val="204"/>
    </font>
    <font>
      <b/>
      <sz val="10"/>
      <color rgb="FF0070C0"/>
      <name val="Arial"/>
      <family val="2"/>
      <charset val="204"/>
    </font>
    <font>
      <sz val="9"/>
      <color rgb="FF0070C0"/>
      <name val="Arial"/>
      <family val="2"/>
      <charset val="204"/>
    </font>
    <font>
      <sz val="10"/>
      <color indexed="8"/>
      <name val="Arial"/>
      <family val="2"/>
    </font>
    <font>
      <b/>
      <sz val="9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89013336588644"/>
        <bgColor rgb="FFFDE9D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E4D6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0"/>
    <xf numFmtId="0" fontId="3" fillId="0" borderId="0"/>
    <xf numFmtId="0" fontId="3" fillId="0" borderId="0"/>
    <xf numFmtId="0" fontId="7" fillId="0" borderId="0"/>
    <xf numFmtId="0" fontId="8" fillId="0" borderId="0"/>
    <xf numFmtId="0" fontId="17" fillId="0" borderId="0"/>
    <xf numFmtId="9" fontId="2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0" fontId="11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5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3" borderId="2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0" fontId="1" fillId="3" borderId="1" xfId="5" applyFont="1" applyFill="1" applyBorder="1" applyAlignment="1" applyProtection="1">
      <alignment horizontal="center" vertical="center" wrapText="1"/>
      <protection locked="0"/>
    </xf>
    <xf numFmtId="49" fontId="1" fillId="3" borderId="2" xfId="0" applyNumberFormat="1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 vertical="top" wrapText="1"/>
    </xf>
    <xf numFmtId="0" fontId="1" fillId="6" borderId="1" xfId="5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>
      <alignment horizontal="center" vertical="center" wrapText="1"/>
    </xf>
    <xf numFmtId="0" fontId="8" fillId="6" borderId="0" xfId="4" applyFont="1" applyFill="1" applyAlignment="1">
      <alignment horizontal="left" vertical="center" wrapText="1"/>
    </xf>
    <xf numFmtId="0" fontId="8" fillId="6" borderId="0" xfId="4" applyFont="1" applyFill="1" applyAlignment="1">
      <alignment horizontal="center" vertical="center" wrapText="1"/>
    </xf>
    <xf numFmtId="0" fontId="9" fillId="6" borderId="0" xfId="4" applyFont="1" applyFill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" fillId="6" borderId="1" xfId="5" applyFont="1" applyFill="1" applyBorder="1" applyAlignment="1" applyProtection="1">
      <alignment horizontal="left" vertical="center" wrapText="1"/>
      <protection locked="0"/>
    </xf>
    <xf numFmtId="0" fontId="1" fillId="6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0" fontId="1" fillId="2" borderId="1" xfId="1" applyFont="1" applyFill="1" applyBorder="1" applyAlignment="1">
      <alignment horizontal="left" vertical="top" wrapText="1"/>
    </xf>
    <xf numFmtId="0" fontId="1" fillId="3" borderId="1" xfId="1" applyFont="1" applyFill="1" applyBorder="1" applyAlignment="1">
      <alignment horizontal="left" vertical="top" wrapText="1"/>
    </xf>
    <xf numFmtId="0" fontId="1" fillId="2" borderId="1" xfId="2" applyFont="1" applyFill="1" applyBorder="1" applyAlignment="1">
      <alignment horizontal="left" vertical="top" wrapText="1"/>
    </xf>
    <xf numFmtId="0" fontId="1" fillId="3" borderId="1" xfId="2" applyFont="1" applyFill="1" applyBorder="1" applyAlignment="1">
      <alignment horizontal="left" vertical="top" wrapText="1"/>
    </xf>
    <xf numFmtId="0" fontId="1" fillId="7" borderId="1" xfId="5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0" fontId="6" fillId="6" borderId="1" xfId="5" applyFont="1" applyFill="1" applyBorder="1" applyAlignment="1" applyProtection="1">
      <alignment horizontal="center" vertical="center" wrapText="1"/>
      <protection locked="0"/>
    </xf>
    <xf numFmtId="0" fontId="6" fillId="7" borderId="1" xfId="5" applyFont="1" applyFill="1" applyBorder="1" applyAlignment="1" applyProtection="1">
      <alignment horizontal="center" vertical="center" wrapText="1"/>
      <protection locked="0"/>
    </xf>
    <xf numFmtId="0" fontId="6" fillId="0" borderId="1" xfId="5" applyFont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vertical="center" wrapText="1"/>
    </xf>
    <xf numFmtId="0" fontId="1" fillId="6" borderId="1" xfId="0" applyFont="1" applyFill="1" applyBorder="1" applyAlignment="1">
      <alignment vertical="center" wrapText="1"/>
    </xf>
    <xf numFmtId="0" fontId="13" fillId="0" borderId="0" xfId="0" applyFont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left" wrapText="1"/>
    </xf>
    <xf numFmtId="0" fontId="13" fillId="0" borderId="0" xfId="0" applyFont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wrapText="1"/>
    </xf>
    <xf numFmtId="0" fontId="12" fillId="5" borderId="1" xfId="5" applyFont="1" applyFill="1" applyBorder="1" applyAlignment="1" applyProtection="1">
      <alignment horizontal="center" vertical="top" wrapText="1"/>
    </xf>
    <xf numFmtId="0" fontId="12" fillId="5" borderId="4" xfId="5" applyFont="1" applyFill="1" applyBorder="1" applyAlignment="1" applyProtection="1">
      <alignment horizontal="center" vertical="top" wrapText="1"/>
    </xf>
    <xf numFmtId="0" fontId="10" fillId="4" borderId="1" xfId="0" applyFont="1" applyFill="1" applyBorder="1" applyAlignment="1">
      <alignment horizontal="center" vertical="top" wrapText="1"/>
    </xf>
    <xf numFmtId="0" fontId="15" fillId="5" borderId="13" xfId="0" applyFont="1" applyFill="1" applyBorder="1" applyAlignment="1" applyProtection="1">
      <alignment horizontal="left" vertical="top" wrapText="1"/>
    </xf>
    <xf numFmtId="164" fontId="13" fillId="0" borderId="0" xfId="0" applyNumberFormat="1" applyFont="1" applyBorder="1" applyAlignment="1" applyProtection="1">
      <alignment horizontal="center" vertical="top" wrapText="1"/>
      <protection locked="0"/>
    </xf>
    <xf numFmtId="49" fontId="13" fillId="0" borderId="0" xfId="0" applyNumberFormat="1" applyFont="1" applyBorder="1" applyAlignment="1" applyProtection="1">
      <alignment horizontal="left" vertical="top" wrapText="1"/>
      <protection locked="0"/>
    </xf>
    <xf numFmtId="0" fontId="13" fillId="0" borderId="0" xfId="0" applyFont="1" applyBorder="1" applyAlignment="1" applyProtection="1">
      <alignment horizontal="left" vertical="top" wrapText="1"/>
      <protection locked="0"/>
    </xf>
    <xf numFmtId="1" fontId="13" fillId="0" borderId="0" xfId="0" applyNumberFormat="1" applyFont="1" applyBorder="1" applyAlignment="1" applyProtection="1">
      <alignment horizontal="right" vertical="top" wrapText="1"/>
      <protection locked="0"/>
    </xf>
    <xf numFmtId="0" fontId="13" fillId="0" borderId="0" xfId="0" applyFont="1" applyBorder="1" applyAlignment="1" applyProtection="1">
      <alignment horizontal="center" wrapText="1"/>
      <protection locked="0"/>
    </xf>
    <xf numFmtId="0" fontId="1" fillId="6" borderId="0" xfId="0" applyFont="1" applyFill="1" applyAlignment="1">
      <alignment horizontal="left" wrapText="1"/>
    </xf>
    <xf numFmtId="0" fontId="1" fillId="6" borderId="0" xfId="0" applyFont="1" applyFill="1" applyAlignment="1">
      <alignment horizontal="center" vertical="center" wrapText="1"/>
    </xf>
    <xf numFmtId="0" fontId="1" fillId="6" borderId="0" xfId="4" applyFont="1" applyFill="1" applyAlignment="1">
      <alignment horizontal="left" vertical="center" wrapText="1"/>
    </xf>
    <xf numFmtId="0" fontId="1" fillId="6" borderId="0" xfId="0" applyFont="1" applyFill="1" applyAlignment="1">
      <alignment horizontal="left"/>
    </xf>
    <xf numFmtId="0" fontId="1" fillId="0" borderId="1" xfId="5" applyFont="1" applyBorder="1" applyAlignment="1">
      <alignment horizontal="center" vertical="top" wrapText="1"/>
    </xf>
    <xf numFmtId="0" fontId="1" fillId="0" borderId="0" xfId="1" applyFont="1" applyAlignment="1">
      <alignment horizontal="left" vertical="top"/>
    </xf>
    <xf numFmtId="0" fontId="8" fillId="0" borderId="0" xfId="4" applyFont="1" applyAlignment="1">
      <alignment horizontal="center" vertical="center" wrapText="1"/>
    </xf>
    <xf numFmtId="0" fontId="9" fillId="0" borderId="0" xfId="4" applyFont="1" applyAlignment="1">
      <alignment horizontal="center" vertical="center" wrapText="1"/>
    </xf>
    <xf numFmtId="0" fontId="8" fillId="0" borderId="0" xfId="4" applyFont="1" applyAlignment="1">
      <alignment horizontal="left" vertical="center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 wrapText="1"/>
    </xf>
    <xf numFmtId="0" fontId="1" fillId="0" borderId="0" xfId="4" applyFont="1" applyAlignment="1">
      <alignment horizontal="left" vertical="center" wrapText="1"/>
    </xf>
    <xf numFmtId="0" fontId="18" fillId="5" borderId="1" xfId="5" applyFont="1" applyFill="1" applyBorder="1" applyAlignment="1" applyProtection="1">
      <alignment horizontal="center" vertical="top" wrapText="1"/>
    </xf>
    <xf numFmtId="0" fontId="18" fillId="5" borderId="1" xfId="0" applyFont="1" applyFill="1" applyBorder="1" applyAlignment="1" applyProtection="1">
      <alignment horizontal="center" vertical="top" wrapText="1"/>
    </xf>
    <xf numFmtId="0" fontId="18" fillId="5" borderId="7" xfId="0" applyFont="1" applyFill="1" applyBorder="1" applyAlignment="1" applyProtection="1">
      <alignment horizontal="center" vertical="top" wrapText="1"/>
    </xf>
    <xf numFmtId="0" fontId="18" fillId="5" borderId="8" xfId="0" applyFont="1" applyFill="1" applyBorder="1" applyAlignment="1" applyProtection="1">
      <alignment horizontal="center" vertical="top" wrapText="1"/>
    </xf>
    <xf numFmtId="0" fontId="18" fillId="5" borderId="3" xfId="0" applyFont="1" applyFill="1" applyBorder="1" applyAlignment="1" applyProtection="1">
      <alignment horizontal="center" vertical="top" wrapText="1"/>
    </xf>
    <xf numFmtId="0" fontId="18" fillId="5" borderId="4" xfId="0" applyFont="1" applyFill="1" applyBorder="1" applyAlignment="1" applyProtection="1">
      <alignment horizontal="center" vertical="top" wrapText="1"/>
    </xf>
    <xf numFmtId="0" fontId="13" fillId="7" borderId="2" xfId="5" applyFont="1" applyFill="1" applyBorder="1" applyAlignment="1" applyProtection="1">
      <alignment horizontal="center" vertical="center" wrapText="1"/>
    </xf>
    <xf numFmtId="0" fontId="14" fillId="6" borderId="2" xfId="5" applyFont="1" applyFill="1" applyBorder="1" applyAlignment="1" applyProtection="1">
      <alignment horizontal="center" vertical="center" wrapText="1"/>
    </xf>
    <xf numFmtId="0" fontId="14" fillId="6" borderId="14" xfId="5" applyFont="1" applyFill="1" applyBorder="1" applyAlignment="1" applyProtection="1">
      <alignment horizontal="center" vertical="center" wrapText="1"/>
    </xf>
    <xf numFmtId="0" fontId="13" fillId="7" borderId="13" xfId="5" applyFont="1" applyFill="1" applyBorder="1" applyAlignment="1" applyProtection="1">
      <alignment horizontal="center" vertical="center" wrapText="1"/>
    </xf>
    <xf numFmtId="0" fontId="14" fillId="0" borderId="2" xfId="5" applyFont="1" applyBorder="1" applyAlignment="1" applyProtection="1">
      <alignment horizontal="center" vertical="center" wrapText="1"/>
    </xf>
    <xf numFmtId="0" fontId="13" fillId="7" borderId="9" xfId="5" applyFont="1" applyFill="1" applyBorder="1" applyAlignment="1" applyProtection="1">
      <alignment horizontal="center" vertical="center" wrapText="1"/>
    </xf>
    <xf numFmtId="0" fontId="14" fillId="6" borderId="9" xfId="5" applyFont="1" applyFill="1" applyBorder="1" applyAlignment="1" applyProtection="1">
      <alignment horizontal="center" vertical="center" wrapText="1"/>
    </xf>
    <xf numFmtId="0" fontId="14" fillId="7" borderId="13" xfId="5" applyFont="1" applyFill="1" applyBorder="1" applyAlignment="1" applyProtection="1">
      <alignment horizontal="center" vertical="center" wrapText="1"/>
    </xf>
    <xf numFmtId="0" fontId="14" fillId="7" borderId="2" xfId="5" applyFont="1" applyFill="1" applyBorder="1" applyAlignment="1" applyProtection="1">
      <alignment horizontal="center" vertical="center" wrapText="1"/>
    </xf>
    <xf numFmtId="0" fontId="13" fillId="7" borderId="15" xfId="5" applyFont="1" applyFill="1" applyBorder="1" applyAlignment="1" applyProtection="1">
      <alignment horizontal="center" vertical="center" wrapText="1"/>
    </xf>
    <xf numFmtId="0" fontId="14" fillId="8" borderId="15" xfId="5" applyFont="1" applyFill="1" applyBorder="1" applyAlignment="1" applyProtection="1">
      <alignment horizontal="center" vertical="center" wrapText="1"/>
    </xf>
    <xf numFmtId="0" fontId="14" fillId="8" borderId="2" xfId="5" applyFont="1" applyFill="1" applyBorder="1" applyAlignment="1" applyProtection="1">
      <alignment horizontal="center" vertical="center" wrapText="1"/>
    </xf>
    <xf numFmtId="165" fontId="13" fillId="8" borderId="16" xfId="0" applyNumberFormat="1" applyFont="1" applyFill="1" applyBorder="1" applyAlignment="1" applyProtection="1">
      <alignment horizontal="center" vertical="top" wrapText="1"/>
      <protection locked="0"/>
    </xf>
    <xf numFmtId="49" fontId="13" fillId="8" borderId="16" xfId="0" applyNumberFormat="1" applyFont="1" applyFill="1" applyBorder="1" applyAlignment="1" applyProtection="1">
      <alignment horizontal="left" vertical="top" wrapText="1"/>
      <protection locked="0"/>
    </xf>
    <xf numFmtId="49" fontId="13" fillId="8" borderId="16" xfId="0" applyNumberFormat="1" applyFont="1" applyFill="1" applyBorder="1" applyAlignment="1" applyProtection="1">
      <alignment horizontal="left" vertical="top" wrapText="1"/>
    </xf>
    <xf numFmtId="49" fontId="13" fillId="8" borderId="16" xfId="7" applyNumberFormat="1" applyFont="1" applyFill="1" applyBorder="1" applyAlignment="1" applyProtection="1">
      <alignment horizontal="left" vertical="top" wrapText="1"/>
      <protection locked="0"/>
    </xf>
    <xf numFmtId="1" fontId="13" fillId="8" borderId="16" xfId="0" applyNumberFormat="1" applyFont="1" applyFill="1" applyBorder="1" applyAlignment="1" applyProtection="1">
      <alignment horizontal="right" vertical="top" wrapText="1"/>
      <protection locked="0"/>
    </xf>
    <xf numFmtId="2" fontId="13" fillId="8" borderId="16" xfId="0" applyNumberFormat="1" applyFont="1" applyFill="1" applyBorder="1" applyAlignment="1" applyProtection="1">
      <alignment horizontal="right" vertical="top" wrapText="1"/>
      <protection locked="0"/>
    </xf>
    <xf numFmtId="0" fontId="13" fillId="8" borderId="16" xfId="0" applyFont="1" applyFill="1" applyBorder="1" applyAlignment="1" applyProtection="1">
      <alignment horizontal="left" vertical="top" wrapText="1"/>
      <protection locked="0"/>
    </xf>
    <xf numFmtId="165" fontId="13" fillId="0" borderId="16" xfId="0" applyNumberFormat="1" applyFont="1" applyBorder="1" applyAlignment="1" applyProtection="1">
      <alignment horizontal="center" vertical="top" wrapText="1"/>
      <protection locked="0"/>
    </xf>
    <xf numFmtId="49" fontId="13" fillId="0" borderId="16" xfId="0" applyNumberFormat="1" applyFont="1" applyBorder="1" applyAlignment="1" applyProtection="1">
      <alignment horizontal="left" vertical="top" wrapText="1"/>
      <protection locked="0"/>
    </xf>
    <xf numFmtId="49" fontId="13" fillId="0" borderId="16" xfId="0" applyNumberFormat="1" applyFont="1" applyBorder="1" applyAlignment="1" applyProtection="1">
      <alignment horizontal="left" vertical="top" wrapText="1"/>
    </xf>
    <xf numFmtId="1" fontId="13" fillId="0" borderId="16" xfId="0" applyNumberFormat="1" applyFont="1" applyBorder="1" applyAlignment="1" applyProtection="1">
      <alignment horizontal="right" vertical="top" wrapText="1"/>
      <protection locked="0"/>
    </xf>
    <xf numFmtId="2" fontId="13" fillId="0" borderId="16" xfId="0" applyNumberFormat="1" applyFont="1" applyBorder="1" applyAlignment="1" applyProtection="1">
      <alignment horizontal="right" vertical="top" wrapText="1"/>
      <protection locked="0"/>
    </xf>
    <xf numFmtId="0" fontId="13" fillId="0" borderId="16" xfId="0" applyFont="1" applyBorder="1" applyAlignment="1" applyProtection="1">
      <alignment horizontal="left" vertical="top" wrapText="1"/>
      <protection locked="0"/>
    </xf>
    <xf numFmtId="0" fontId="14" fillId="0" borderId="14" xfId="5" applyFont="1" applyBorder="1" applyAlignment="1" applyProtection="1">
      <alignment horizontal="center" vertical="center" wrapText="1"/>
    </xf>
    <xf numFmtId="0" fontId="14" fillId="0" borderId="15" xfId="5" applyFont="1" applyBorder="1" applyAlignment="1" applyProtection="1">
      <alignment horizontal="center" vertical="center" wrapText="1"/>
    </xf>
    <xf numFmtId="49" fontId="13" fillId="8" borderId="18" xfId="0" applyNumberFormat="1" applyFont="1" applyFill="1" applyBorder="1" applyAlignment="1" applyProtection="1">
      <alignment horizontal="left" vertical="top" wrapText="1"/>
      <protection locked="0"/>
    </xf>
    <xf numFmtId="49" fontId="13" fillId="0" borderId="18" xfId="0" applyNumberFormat="1" applyFont="1" applyBorder="1" applyAlignment="1" applyProtection="1">
      <alignment horizontal="left" vertical="top" wrapText="1"/>
      <protection locked="0"/>
    </xf>
    <xf numFmtId="49" fontId="13" fillId="8" borderId="17" xfId="7" applyNumberFormat="1" applyFont="1" applyFill="1" applyBorder="1" applyAlignment="1" applyProtection="1">
      <alignment horizontal="left" vertical="top" wrapText="1"/>
      <protection locked="0"/>
    </xf>
    <xf numFmtId="49" fontId="13" fillId="0" borderId="17" xfId="0" applyNumberFormat="1" applyFont="1" applyBorder="1" applyAlignment="1" applyProtection="1">
      <alignment horizontal="left" vertical="top" wrapText="1"/>
      <protection locked="0"/>
    </xf>
    <xf numFmtId="0" fontId="10" fillId="5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top" wrapText="1"/>
    </xf>
    <xf numFmtId="0" fontId="5" fillId="5" borderId="1" xfId="0" applyFont="1" applyFill="1" applyBorder="1" applyAlignment="1">
      <alignment horizontal="center" vertical="top" wrapText="1"/>
    </xf>
    <xf numFmtId="0" fontId="15" fillId="5" borderId="22" xfId="0" applyFont="1" applyFill="1" applyBorder="1" applyAlignment="1" applyProtection="1">
      <alignment horizontal="center" vertical="top" wrapText="1"/>
    </xf>
    <xf numFmtId="0" fontId="15" fillId="5" borderId="12" xfId="0" applyFont="1" applyFill="1" applyBorder="1" applyAlignment="1" applyProtection="1">
      <alignment horizontal="center" vertical="top" wrapText="1"/>
    </xf>
    <xf numFmtId="0" fontId="15" fillId="5" borderId="1" xfId="0" applyFont="1" applyFill="1" applyBorder="1" applyAlignment="1" applyProtection="1">
      <alignment horizontal="left" vertical="top" wrapText="1"/>
    </xf>
    <xf numFmtId="49" fontId="15" fillId="5" borderId="13" xfId="0" applyNumberFormat="1" applyFont="1" applyFill="1" applyBorder="1" applyAlignment="1" applyProtection="1">
      <alignment horizontal="left" vertical="top" wrapText="1"/>
    </xf>
    <xf numFmtId="49" fontId="15" fillId="5" borderId="1" xfId="0" applyNumberFormat="1" applyFont="1" applyFill="1" applyBorder="1" applyAlignment="1" applyProtection="1">
      <alignment horizontal="left" vertical="top" wrapText="1"/>
    </xf>
    <xf numFmtId="0" fontId="15" fillId="5" borderId="2" xfId="0" applyFont="1" applyFill="1" applyBorder="1" applyAlignment="1" applyProtection="1">
      <alignment horizontal="left" vertical="top" wrapText="1"/>
    </xf>
    <xf numFmtId="0" fontId="15" fillId="5" borderId="1" xfId="0" applyFont="1" applyFill="1" applyBorder="1" applyAlignment="1" applyProtection="1">
      <alignment horizontal="center" vertical="top" wrapText="1"/>
    </xf>
    <xf numFmtId="0" fontId="15" fillId="5" borderId="13" xfId="0" applyFont="1" applyFill="1" applyBorder="1" applyAlignment="1" applyProtection="1">
      <alignment horizontal="left" vertical="top" wrapText="1"/>
    </xf>
    <xf numFmtId="0" fontId="16" fillId="5" borderId="12" xfId="0" applyFont="1" applyFill="1" applyBorder="1" applyAlignment="1" applyProtection="1">
      <alignment horizontal="center" wrapText="1"/>
    </xf>
    <xf numFmtId="0" fontId="16" fillId="5" borderId="6" xfId="0" applyFont="1" applyFill="1" applyBorder="1" applyAlignment="1" applyProtection="1">
      <alignment horizontal="center" wrapText="1"/>
    </xf>
    <xf numFmtId="0" fontId="16" fillId="5" borderId="8" xfId="0" applyFont="1" applyFill="1" applyBorder="1" applyAlignment="1" applyProtection="1">
      <alignment horizontal="center" wrapText="1"/>
    </xf>
    <xf numFmtId="0" fontId="16" fillId="5" borderId="1" xfId="0" applyFont="1" applyFill="1" applyBorder="1" applyAlignment="1" applyProtection="1">
      <alignment horizontal="center" wrapText="1"/>
    </xf>
    <xf numFmtId="49" fontId="15" fillId="5" borderId="19" xfId="0" applyNumberFormat="1" applyFont="1" applyFill="1" applyBorder="1" applyAlignment="1" applyProtection="1">
      <alignment horizontal="center" vertical="top" wrapText="1"/>
    </xf>
    <xf numFmtId="49" fontId="15" fillId="5" borderId="20" xfId="0" applyNumberFormat="1" applyFont="1" applyFill="1" applyBorder="1" applyAlignment="1" applyProtection="1">
      <alignment horizontal="center" vertical="top" wrapText="1"/>
    </xf>
    <xf numFmtId="49" fontId="15" fillId="5" borderId="21" xfId="0" applyNumberFormat="1" applyFont="1" applyFill="1" applyBorder="1" applyAlignment="1" applyProtection="1">
      <alignment horizontal="center" vertical="top" wrapText="1"/>
    </xf>
    <xf numFmtId="0" fontId="15" fillId="5" borderId="5" xfId="0" applyFont="1" applyFill="1" applyBorder="1" applyAlignment="1" applyProtection="1">
      <alignment horizontal="left" vertical="top" wrapText="1"/>
    </xf>
    <xf numFmtId="0" fontId="19" fillId="5" borderId="6" xfId="0" applyFont="1" applyFill="1" applyBorder="1" applyAlignment="1" applyProtection="1">
      <alignment horizontal="center" vertical="top" wrapText="1"/>
    </xf>
    <xf numFmtId="0" fontId="16" fillId="5" borderId="12" xfId="0" applyFont="1" applyFill="1" applyBorder="1" applyAlignment="1" applyProtection="1">
      <alignment horizontal="left" vertical="top" wrapText="1"/>
    </xf>
    <xf numFmtId="0" fontId="16" fillId="5" borderId="8" xfId="0" applyFont="1" applyFill="1" applyBorder="1" applyAlignment="1" applyProtection="1">
      <alignment horizontal="left" vertical="top" wrapText="1"/>
    </xf>
    <xf numFmtId="0" fontId="16" fillId="5" borderId="6" xfId="0" applyFont="1" applyFill="1" applyBorder="1" applyAlignment="1" applyProtection="1">
      <alignment horizontal="left" vertical="top" wrapText="1"/>
    </xf>
    <xf numFmtId="0" fontId="16" fillId="5" borderId="1" xfId="0" applyFont="1" applyFill="1" applyBorder="1" applyAlignment="1" applyProtection="1">
      <alignment horizontal="left" vertical="top" wrapText="1"/>
    </xf>
    <xf numFmtId="0" fontId="15" fillId="9" borderId="1" xfId="0" applyFont="1" applyFill="1" applyBorder="1" applyAlignment="1" applyProtection="1">
      <alignment horizontal="center" vertical="top" wrapText="1"/>
    </xf>
    <xf numFmtId="49" fontId="15" fillId="5" borderId="9" xfId="0" applyNumberFormat="1" applyFont="1" applyFill="1" applyBorder="1" applyAlignment="1" applyProtection="1">
      <alignment horizontal="center" vertical="top" wrapText="1"/>
    </xf>
    <xf numFmtId="49" fontId="15" fillId="5" borderId="10" xfId="0" applyNumberFormat="1" applyFont="1" applyFill="1" applyBorder="1" applyAlignment="1" applyProtection="1">
      <alignment horizontal="center" vertical="top" wrapText="1"/>
    </xf>
    <xf numFmtId="49" fontId="15" fillId="5" borderId="11" xfId="0" applyNumberFormat="1" applyFont="1" applyFill="1" applyBorder="1" applyAlignment="1" applyProtection="1">
      <alignment horizontal="center" vertical="top" wrapText="1"/>
    </xf>
    <xf numFmtId="0" fontId="15" fillId="5" borderId="3" xfId="0" applyFont="1" applyFill="1" applyBorder="1" applyAlignment="1" applyProtection="1">
      <alignment horizontal="left" vertical="top" wrapText="1"/>
    </xf>
    <xf numFmtId="0" fontId="16" fillId="5" borderId="8" xfId="0" applyFont="1" applyFill="1" applyBorder="1" applyAlignment="1" applyProtection="1">
      <alignment horizontal="left" wrapText="1"/>
    </xf>
    <xf numFmtId="0" fontId="16" fillId="5" borderId="1" xfId="0" applyFont="1" applyFill="1" applyBorder="1" applyAlignment="1" applyProtection="1">
      <alignment horizontal="left" wrapText="1"/>
    </xf>
    <xf numFmtId="0" fontId="15" fillId="5" borderId="8" xfId="0" applyFont="1" applyFill="1" applyBorder="1" applyAlignment="1" applyProtection="1">
      <alignment horizontal="left" vertical="top" wrapText="1"/>
    </xf>
    <xf numFmtId="49" fontId="15" fillId="5" borderId="2" xfId="0" applyNumberFormat="1" applyFont="1" applyFill="1" applyBorder="1" applyAlignment="1" applyProtection="1">
      <alignment horizontal="left" vertical="top" wrapText="1"/>
    </xf>
    <xf numFmtId="49" fontId="15" fillId="5" borderId="3" xfId="0" applyNumberFormat="1" applyFont="1" applyFill="1" applyBorder="1" applyAlignment="1" applyProtection="1">
      <alignment horizontal="left" vertical="top" wrapText="1"/>
    </xf>
    <xf numFmtId="0" fontId="15" fillId="5" borderId="9" xfId="0" applyFont="1" applyFill="1" applyBorder="1" applyAlignment="1" applyProtection="1">
      <alignment horizontal="left" vertical="top" wrapText="1"/>
    </xf>
    <xf numFmtId="0" fontId="15" fillId="5" borderId="10" xfId="0" applyFont="1" applyFill="1" applyBorder="1" applyAlignment="1" applyProtection="1">
      <alignment horizontal="center" vertical="top" wrapText="1"/>
    </xf>
    <xf numFmtId="0" fontId="19" fillId="5" borderId="11" xfId="0" applyFont="1" applyFill="1" applyBorder="1" applyAlignment="1" applyProtection="1">
      <alignment horizontal="center" vertical="top" wrapText="1"/>
    </xf>
  </cellXfs>
  <cellStyles count="9">
    <cellStyle name="Обычный" xfId="0" builtinId="0"/>
    <cellStyle name="Обычный 14 3 3 2" xfId="1" xr:uid="{9E4596C5-6828-4986-B325-FA2D54E05725}"/>
    <cellStyle name="Обычный 2" xfId="4" xr:uid="{C98BE049-41D6-4FFA-89AF-EDA008FCCE9F}"/>
    <cellStyle name="Обычный 3" xfId="5" xr:uid="{E516F1A6-6522-4564-85F0-6A9A81706E63}"/>
    <cellStyle name="Обычный 4" xfId="6" xr:uid="{85258712-CB6A-4ACB-A07D-A79EAD9B01DF}"/>
    <cellStyle name="Обычный 4 2" xfId="8" xr:uid="{3970DF97-939E-48EC-8867-18BC8DD2610A}"/>
    <cellStyle name="Обычный 41" xfId="3" xr:uid="{4E3D517C-864E-4CA7-96D1-460DDF55FB37}"/>
    <cellStyle name="Обычный 42" xfId="2" xr:uid="{9E3B8041-9AD2-403C-8FE7-21CADFFCC385}"/>
    <cellStyle name="Процентный" xfId="7" builtinId="5"/>
  </cellStyles>
  <dxfs count="0"/>
  <tableStyles count="0" defaultTableStyle="TableStyleMedium2" defaultPivotStyle="PivotStyleLight16"/>
  <colors>
    <mruColors>
      <color rgb="FFCBD3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0700F80-74F7-40B8-8315-15DB93DAD12C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c67fb9ea-8048-4f3e-8917-9f198cf2235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5C55-EA81-42EE-AFB3-6A84E758886F}">
  <dimension ref="A1:T156"/>
  <sheetViews>
    <sheetView zoomScale="70" zoomScaleNormal="70" workbookViewId="0">
      <selection activeCell="A5" sqref="A5:A156"/>
    </sheetView>
  </sheetViews>
  <sheetFormatPr defaultColWidth="8.69140625" defaultRowHeight="14.15"/>
  <cols>
    <col min="1" max="1" width="11" style="7" customWidth="1"/>
    <col min="2" max="2" width="16.53515625" style="55" customWidth="1"/>
    <col min="3" max="3" width="38.53515625" style="55" customWidth="1"/>
    <col min="4" max="4" width="70.3046875" style="55" customWidth="1"/>
    <col min="5" max="5" width="54.3046875" style="55" customWidth="1"/>
    <col min="6" max="6" width="71.69140625" style="55" customWidth="1"/>
    <col min="7" max="8" width="47.69140625" style="55" customWidth="1"/>
    <col min="9" max="9" width="96.3046875" style="55" customWidth="1"/>
    <col min="10" max="10" width="103.3046875" style="55" customWidth="1"/>
    <col min="11" max="11" width="20.3046875" style="54" customWidth="1"/>
    <col min="12" max="13" width="20.3046875" style="52" customWidth="1"/>
    <col min="14" max="14" width="26.53515625" style="53" customWidth="1"/>
    <col min="15" max="15" width="16.3046875" style="52" customWidth="1"/>
    <col min="16" max="16" width="20.3046875" style="52" customWidth="1"/>
    <col min="17" max="17" width="18" style="16" customWidth="1"/>
    <col min="18" max="18" width="18.69140625" style="17" customWidth="1"/>
    <col min="19" max="19" width="19.69140625" style="18" customWidth="1"/>
    <col min="20" max="20" width="18" style="17" customWidth="1"/>
    <col min="21" max="16384" width="8.69140625" style="7"/>
  </cols>
  <sheetData>
    <row r="1" spans="1:20" ht="26.7" customHeight="1">
      <c r="A1" s="1" t="s">
        <v>128</v>
      </c>
      <c r="B1" s="7"/>
      <c r="C1" s="1"/>
      <c r="D1" s="1"/>
      <c r="E1" s="1"/>
      <c r="F1" s="1"/>
      <c r="G1" s="1"/>
      <c r="H1" s="1"/>
      <c r="I1" s="1"/>
      <c r="J1" s="1"/>
      <c r="K1" s="63"/>
      <c r="L1" s="61"/>
      <c r="M1" s="61"/>
      <c r="N1" s="62"/>
      <c r="O1" s="61"/>
      <c r="P1" s="61"/>
      <c r="Q1" s="60"/>
      <c r="R1" s="58"/>
      <c r="S1" s="59"/>
      <c r="T1" s="58"/>
    </row>
    <row r="2" spans="1:20">
      <c r="A2" s="103" t="s">
        <v>47</v>
      </c>
      <c r="B2" s="103" t="s">
        <v>48</v>
      </c>
      <c r="C2" s="101" t="s">
        <v>94</v>
      </c>
      <c r="D2" s="101" t="s">
        <v>95</v>
      </c>
      <c r="E2" s="101" t="s">
        <v>96</v>
      </c>
      <c r="F2" s="101" t="s">
        <v>326</v>
      </c>
      <c r="G2" s="101" t="s">
        <v>98</v>
      </c>
      <c r="H2" s="101" t="s">
        <v>97</v>
      </c>
      <c r="I2" s="101" t="s">
        <v>49</v>
      </c>
      <c r="J2" s="101" t="s">
        <v>50</v>
      </c>
      <c r="K2" s="102" t="s">
        <v>51</v>
      </c>
      <c r="L2" s="102" t="s">
        <v>52</v>
      </c>
      <c r="M2" s="102" t="s">
        <v>54</v>
      </c>
      <c r="N2" s="102" t="s">
        <v>55</v>
      </c>
      <c r="O2" s="102" t="s">
        <v>56</v>
      </c>
      <c r="P2" s="102" t="s">
        <v>53</v>
      </c>
      <c r="Q2" s="102" t="s">
        <v>57</v>
      </c>
      <c r="R2" s="102"/>
      <c r="S2" s="102"/>
      <c r="T2" s="102"/>
    </row>
    <row r="3" spans="1:20" ht="123.75" customHeight="1">
      <c r="A3" s="103"/>
      <c r="B3" s="103"/>
      <c r="C3" s="101"/>
      <c r="D3" s="101"/>
      <c r="E3" s="101"/>
      <c r="F3" s="101"/>
      <c r="G3" s="101"/>
      <c r="H3" s="101"/>
      <c r="I3" s="101"/>
      <c r="J3" s="101"/>
      <c r="K3" s="102"/>
      <c r="L3" s="102"/>
      <c r="M3" s="102"/>
      <c r="N3" s="102"/>
      <c r="O3" s="102"/>
      <c r="P3" s="102"/>
      <c r="Q3" s="20" t="s">
        <v>87</v>
      </c>
      <c r="R3" s="45" t="s">
        <v>58</v>
      </c>
      <c r="S3" s="45" t="s">
        <v>59</v>
      </c>
      <c r="T3" s="45" t="s">
        <v>60</v>
      </c>
    </row>
    <row r="4" spans="1:20">
      <c r="A4" s="19">
        <v>1</v>
      </c>
      <c r="B4" s="19">
        <v>2</v>
      </c>
      <c r="C4" s="19">
        <v>3</v>
      </c>
      <c r="D4" s="19">
        <v>4</v>
      </c>
      <c r="E4" s="19">
        <v>5</v>
      </c>
      <c r="F4" s="19">
        <v>6</v>
      </c>
      <c r="G4" s="19">
        <v>7</v>
      </c>
      <c r="H4" s="19">
        <v>8</v>
      </c>
      <c r="I4" s="19">
        <v>9</v>
      </c>
      <c r="J4" s="19">
        <v>10</v>
      </c>
      <c r="K4" s="19">
        <v>11</v>
      </c>
      <c r="L4" s="19">
        <v>12</v>
      </c>
      <c r="M4" s="19">
        <v>13</v>
      </c>
      <c r="N4" s="19">
        <v>14</v>
      </c>
      <c r="O4" s="19">
        <v>15</v>
      </c>
      <c r="P4" s="19">
        <v>16</v>
      </c>
      <c r="Q4" s="19">
        <v>17</v>
      </c>
      <c r="R4" s="19">
        <v>18</v>
      </c>
      <c r="S4" s="19">
        <v>19</v>
      </c>
      <c r="T4" s="19">
        <v>20</v>
      </c>
    </row>
    <row r="5" spans="1:20" s="57" customFormat="1">
      <c r="A5" s="56">
        <v>1</v>
      </c>
      <c r="B5" s="2" t="s">
        <v>152</v>
      </c>
      <c r="C5" s="21" t="s">
        <v>88</v>
      </c>
      <c r="D5" s="21"/>
      <c r="E5" s="21"/>
      <c r="F5" s="21"/>
      <c r="G5" s="21"/>
      <c r="H5" s="21"/>
      <c r="I5" s="13" t="str">
        <f t="shared" ref="I5:I38" si="0">_xlfn.TEXTJOIN(".",TRUE(),C5:H5)</f>
        <v>Дата ввода</v>
      </c>
      <c r="J5" s="21" t="s">
        <v>88</v>
      </c>
      <c r="K5" s="14" t="s">
        <v>15</v>
      </c>
      <c r="L5" s="14" t="s">
        <v>75</v>
      </c>
      <c r="M5" s="15" t="s">
        <v>77</v>
      </c>
      <c r="N5" s="14" t="s">
        <v>79</v>
      </c>
      <c r="O5" s="15" t="s">
        <v>82</v>
      </c>
      <c r="P5" s="31"/>
      <c r="Q5" s="14" t="s">
        <v>85</v>
      </c>
      <c r="R5" s="14" t="s">
        <v>83</v>
      </c>
      <c r="S5" s="14"/>
      <c r="T5" s="14"/>
    </row>
    <row r="6" spans="1:20" s="57" customFormat="1">
      <c r="A6" s="56">
        <v>2</v>
      </c>
      <c r="B6" s="2" t="s">
        <v>153</v>
      </c>
      <c r="C6" s="21" t="s">
        <v>89</v>
      </c>
      <c r="D6" s="21"/>
      <c r="E6" s="21"/>
      <c r="F6" s="21"/>
      <c r="G6" s="21"/>
      <c r="H6" s="21"/>
      <c r="I6" s="13" t="str">
        <f t="shared" si="0"/>
        <v>Оператор ввода</v>
      </c>
      <c r="J6" s="21" t="s">
        <v>89</v>
      </c>
      <c r="K6" s="14" t="s">
        <v>71</v>
      </c>
      <c r="L6" s="14" t="s">
        <v>75</v>
      </c>
      <c r="M6" s="15" t="s">
        <v>77</v>
      </c>
      <c r="N6" s="14" t="s">
        <v>79</v>
      </c>
      <c r="O6" s="15" t="s">
        <v>82</v>
      </c>
      <c r="P6" s="31"/>
      <c r="Q6" s="14" t="s">
        <v>85</v>
      </c>
      <c r="R6" s="14" t="s">
        <v>83</v>
      </c>
      <c r="S6" s="14"/>
      <c r="T6" s="14"/>
    </row>
    <row r="7" spans="1:20" s="57" customFormat="1">
      <c r="A7" s="56">
        <v>3</v>
      </c>
      <c r="B7" s="2" t="s">
        <v>389</v>
      </c>
      <c r="C7" s="21" t="s">
        <v>386</v>
      </c>
      <c r="D7" s="21"/>
      <c r="E7" s="21"/>
      <c r="F7" s="21"/>
      <c r="G7" s="21"/>
      <c r="H7" s="21"/>
      <c r="I7" s="13" t="str">
        <f t="shared" ref="I7" si="1">_xlfn.TEXTJOIN(".",TRUE(),C7:H7)</f>
        <v>ID Заявки</v>
      </c>
      <c r="J7" s="21" t="s">
        <v>90</v>
      </c>
      <c r="K7" s="14" t="s">
        <v>71</v>
      </c>
      <c r="L7" s="14" t="s">
        <v>75</v>
      </c>
      <c r="M7" s="15" t="s">
        <v>77</v>
      </c>
      <c r="N7" s="14" t="s">
        <v>79</v>
      </c>
      <c r="O7" s="15" t="s">
        <v>82</v>
      </c>
      <c r="P7" s="31"/>
      <c r="Q7" s="14" t="s">
        <v>85</v>
      </c>
      <c r="R7" s="14" t="s">
        <v>83</v>
      </c>
      <c r="S7" s="14"/>
      <c r="T7" s="14"/>
    </row>
    <row r="8" spans="1:20" s="57" customFormat="1">
      <c r="A8" s="56">
        <v>4</v>
      </c>
      <c r="B8" s="2" t="s">
        <v>154</v>
      </c>
      <c r="C8" s="21" t="s">
        <v>387</v>
      </c>
      <c r="D8" s="21"/>
      <c r="E8" s="21"/>
      <c r="F8" s="21"/>
      <c r="G8" s="21"/>
      <c r="H8" s="21"/>
      <c r="I8" s="13" t="str">
        <f t="shared" si="0"/>
        <v>ID Коробочного проекта</v>
      </c>
      <c r="J8" s="21" t="s">
        <v>90</v>
      </c>
      <c r="K8" s="14" t="s">
        <v>71</v>
      </c>
      <c r="L8" s="14" t="s">
        <v>75</v>
      </c>
      <c r="M8" s="15" t="s">
        <v>77</v>
      </c>
      <c r="N8" s="14" t="s">
        <v>79</v>
      </c>
      <c r="O8" s="15" t="s">
        <v>82</v>
      </c>
      <c r="P8" s="31"/>
      <c r="Q8" s="14" t="s">
        <v>85</v>
      </c>
      <c r="R8" s="14" t="s">
        <v>83</v>
      </c>
      <c r="S8" s="14"/>
      <c r="T8" s="14"/>
    </row>
    <row r="9" spans="1:20" s="57" customFormat="1">
      <c r="A9" s="56">
        <v>5</v>
      </c>
      <c r="B9" s="2" t="s">
        <v>390</v>
      </c>
      <c r="C9" s="21" t="s">
        <v>388</v>
      </c>
      <c r="D9" s="21"/>
      <c r="E9" s="21"/>
      <c r="F9" s="21"/>
      <c r="G9" s="21"/>
      <c r="H9" s="21"/>
      <c r="I9" s="13" t="str">
        <f t="shared" ref="I9" si="2">_xlfn.TEXTJOIN(".",TRUE(),C9:H9)</f>
        <v>PID Инвестпроекта</v>
      </c>
      <c r="J9" s="21" t="s">
        <v>90</v>
      </c>
      <c r="K9" s="14" t="s">
        <v>71</v>
      </c>
      <c r="L9" s="14" t="s">
        <v>75</v>
      </c>
      <c r="M9" s="15" t="s">
        <v>77</v>
      </c>
      <c r="N9" s="14" t="s">
        <v>79</v>
      </c>
      <c r="O9" s="15" t="s">
        <v>82</v>
      </c>
      <c r="P9" s="31"/>
      <c r="Q9" s="14" t="s">
        <v>85</v>
      </c>
      <c r="R9" s="14" t="s">
        <v>83</v>
      </c>
      <c r="S9" s="14"/>
      <c r="T9" s="14"/>
    </row>
    <row r="10" spans="1:20" s="57" customFormat="1">
      <c r="A10" s="56">
        <v>6</v>
      </c>
      <c r="B10" s="2" t="s">
        <v>155</v>
      </c>
      <c r="C10" s="21" t="s">
        <v>287</v>
      </c>
      <c r="D10" s="21"/>
      <c r="E10" s="21"/>
      <c r="F10" s="21"/>
      <c r="G10" s="21"/>
      <c r="H10" s="21"/>
      <c r="I10" s="13" t="str">
        <f t="shared" si="0"/>
        <v>Учетный статус Проекта</v>
      </c>
      <c r="J10" s="21" t="s">
        <v>287</v>
      </c>
      <c r="K10" s="14" t="s">
        <v>71</v>
      </c>
      <c r="L10" s="14" t="s">
        <v>75</v>
      </c>
      <c r="M10" s="15" t="s">
        <v>77</v>
      </c>
      <c r="N10" s="14" t="s">
        <v>79</v>
      </c>
      <c r="O10" s="15" t="s">
        <v>82</v>
      </c>
      <c r="P10" s="34" t="s">
        <v>297</v>
      </c>
      <c r="Q10" s="14" t="s">
        <v>85</v>
      </c>
      <c r="R10" s="14" t="s">
        <v>83</v>
      </c>
      <c r="S10" s="14"/>
      <c r="T10" s="14"/>
    </row>
    <row r="11" spans="1:20">
      <c r="A11" s="56">
        <v>7</v>
      </c>
      <c r="B11" s="2" t="s">
        <v>156</v>
      </c>
      <c r="C11" s="22" t="s">
        <v>91</v>
      </c>
      <c r="D11" s="22"/>
      <c r="E11" s="22"/>
      <c r="F11" s="22"/>
      <c r="G11" s="22"/>
      <c r="H11" s="22"/>
      <c r="I11" s="13" t="str">
        <f t="shared" si="0"/>
        <v>№ Проекта</v>
      </c>
      <c r="J11" s="13" t="s">
        <v>91</v>
      </c>
      <c r="K11" s="15" t="s">
        <v>72</v>
      </c>
      <c r="L11" s="15" t="s">
        <v>75</v>
      </c>
      <c r="M11" s="15" t="s">
        <v>77</v>
      </c>
      <c r="N11" s="14" t="s">
        <v>79</v>
      </c>
      <c r="O11" s="15" t="s">
        <v>81</v>
      </c>
      <c r="P11" s="31"/>
      <c r="Q11" s="15" t="s">
        <v>86</v>
      </c>
      <c r="R11" s="15" t="s">
        <v>83</v>
      </c>
      <c r="S11" s="15"/>
      <c r="T11" s="15"/>
    </row>
    <row r="12" spans="1:20">
      <c r="A12" s="56">
        <v>8</v>
      </c>
      <c r="B12" s="2" t="s">
        <v>157</v>
      </c>
      <c r="C12" s="22" t="s">
        <v>288</v>
      </c>
      <c r="D12" s="22"/>
      <c r="E12" s="22"/>
      <c r="F12" s="22"/>
      <c r="G12" s="22"/>
      <c r="H12" s="22"/>
      <c r="I12" s="13" t="str">
        <f t="shared" si="0"/>
        <v>Класс проекта</v>
      </c>
      <c r="J12" s="13" t="s">
        <v>288</v>
      </c>
      <c r="K12" s="14" t="s">
        <v>71</v>
      </c>
      <c r="L12" s="14" t="s">
        <v>76</v>
      </c>
      <c r="M12" s="14" t="s">
        <v>77</v>
      </c>
      <c r="N12" s="14" t="s">
        <v>79</v>
      </c>
      <c r="O12" s="15" t="s">
        <v>81</v>
      </c>
      <c r="P12" s="34" t="s">
        <v>318</v>
      </c>
      <c r="Q12" s="15" t="s">
        <v>86</v>
      </c>
      <c r="R12" s="15" t="s">
        <v>83</v>
      </c>
      <c r="S12" s="15"/>
      <c r="T12" s="15"/>
    </row>
    <row r="13" spans="1:20">
      <c r="A13" s="56">
        <v>9</v>
      </c>
      <c r="B13" s="2" t="s">
        <v>341</v>
      </c>
      <c r="C13" s="38" t="s">
        <v>343</v>
      </c>
      <c r="D13" s="22"/>
      <c r="E13" s="22"/>
      <c r="F13" s="22"/>
      <c r="G13" s="22"/>
      <c r="H13" s="22"/>
      <c r="I13" s="13" t="str">
        <f t="shared" si="0"/>
        <v>Базовая категория проекта</v>
      </c>
      <c r="J13" s="13" t="s">
        <v>343</v>
      </c>
      <c r="K13" s="14" t="s">
        <v>71</v>
      </c>
      <c r="L13" s="14" t="s">
        <v>76</v>
      </c>
      <c r="M13" s="14" t="s">
        <v>77</v>
      </c>
      <c r="N13" s="14" t="s">
        <v>79</v>
      </c>
      <c r="O13" s="15" t="s">
        <v>81</v>
      </c>
      <c r="P13" s="34" t="s">
        <v>339</v>
      </c>
      <c r="Q13" s="15" t="s">
        <v>86</v>
      </c>
      <c r="R13" s="15" t="s">
        <v>83</v>
      </c>
      <c r="S13" s="15"/>
      <c r="T13" s="15"/>
    </row>
    <row r="14" spans="1:20">
      <c r="A14" s="56">
        <v>10</v>
      </c>
      <c r="B14" s="2" t="s">
        <v>158</v>
      </c>
      <c r="C14" s="4" t="s">
        <v>3</v>
      </c>
      <c r="D14" s="4"/>
      <c r="E14" s="4"/>
      <c r="F14" s="4"/>
      <c r="G14" s="4"/>
      <c r="H14" s="4"/>
      <c r="I14" s="4" t="str">
        <f t="shared" si="0"/>
        <v>Информация о заемщике</v>
      </c>
      <c r="J14" s="4" t="s">
        <v>3</v>
      </c>
      <c r="K14" s="5"/>
      <c r="L14" s="5"/>
      <c r="M14" s="5" t="s">
        <v>78</v>
      </c>
      <c r="N14" s="5" t="s">
        <v>79</v>
      </c>
      <c r="O14" s="6" t="s">
        <v>81</v>
      </c>
      <c r="P14" s="31"/>
      <c r="Q14" s="6"/>
      <c r="R14" s="6"/>
      <c r="S14" s="15"/>
      <c r="T14" s="15"/>
    </row>
    <row r="15" spans="1:20">
      <c r="A15" s="56">
        <v>11</v>
      </c>
      <c r="B15" s="2" t="s">
        <v>159</v>
      </c>
      <c r="C15" s="9"/>
      <c r="D15" s="9" t="s">
        <v>129</v>
      </c>
      <c r="E15" s="9"/>
      <c r="F15" s="9"/>
      <c r="G15" s="9"/>
      <c r="H15" s="9"/>
      <c r="I15" s="9" t="str">
        <f t="shared" si="0"/>
        <v>Наименование заемщика СХТП</v>
      </c>
      <c r="J15" s="9" t="s">
        <v>129</v>
      </c>
      <c r="K15" s="10" t="s">
        <v>71</v>
      </c>
      <c r="L15" s="10" t="s">
        <v>74</v>
      </c>
      <c r="M15" s="10" t="s">
        <v>77</v>
      </c>
      <c r="N15" s="10" t="s">
        <v>79</v>
      </c>
      <c r="O15" s="12" t="s">
        <v>81</v>
      </c>
      <c r="P15" s="31"/>
      <c r="Q15" s="12" t="s">
        <v>86</v>
      </c>
      <c r="R15" s="12" t="s">
        <v>83</v>
      </c>
      <c r="S15" s="15"/>
      <c r="T15" s="15"/>
    </row>
    <row r="16" spans="1:20">
      <c r="A16" s="56">
        <v>12</v>
      </c>
      <c r="B16" s="2" t="s">
        <v>160</v>
      </c>
      <c r="C16" s="9"/>
      <c r="D16" s="9" t="s">
        <v>130</v>
      </c>
      <c r="E16" s="9"/>
      <c r="F16" s="9"/>
      <c r="G16" s="9"/>
      <c r="H16" s="9"/>
      <c r="I16" s="9" t="str">
        <f t="shared" si="0"/>
        <v>БИН/ИИН СХТП</v>
      </c>
      <c r="J16" s="9" t="s">
        <v>130</v>
      </c>
      <c r="K16" s="10" t="s">
        <v>71</v>
      </c>
      <c r="L16" s="10" t="s">
        <v>75</v>
      </c>
      <c r="M16" s="10" t="s">
        <v>77</v>
      </c>
      <c r="N16" s="10" t="s">
        <v>79</v>
      </c>
      <c r="O16" s="12" t="s">
        <v>81</v>
      </c>
      <c r="P16" s="31"/>
      <c r="Q16" s="12" t="s">
        <v>86</v>
      </c>
      <c r="R16" s="12" t="s">
        <v>83</v>
      </c>
      <c r="S16" s="14"/>
      <c r="T16" s="14"/>
    </row>
    <row r="17" spans="1:20" ht="28.3">
      <c r="A17" s="56">
        <v>13</v>
      </c>
      <c r="B17" s="2" t="s">
        <v>161</v>
      </c>
      <c r="C17" s="9"/>
      <c r="D17" s="9" t="s">
        <v>131</v>
      </c>
      <c r="E17" s="9"/>
      <c r="F17" s="9"/>
      <c r="G17" s="9"/>
      <c r="H17" s="9"/>
      <c r="I17" s="9" t="str">
        <f t="shared" si="0"/>
        <v>Организационно-правовая форма предприятия-заемщика (АО, ТОО, КХ, ИП и тд.)</v>
      </c>
      <c r="J17" s="9" t="s">
        <v>131</v>
      </c>
      <c r="K17" s="10" t="s">
        <v>71</v>
      </c>
      <c r="L17" s="10" t="s">
        <v>76</v>
      </c>
      <c r="M17" s="10" t="s">
        <v>77</v>
      </c>
      <c r="N17" s="10" t="s">
        <v>79</v>
      </c>
      <c r="O17" s="12" t="s">
        <v>81</v>
      </c>
      <c r="P17" s="36" t="s">
        <v>298</v>
      </c>
      <c r="Q17" s="12" t="s">
        <v>86</v>
      </c>
      <c r="R17" s="12" t="s">
        <v>83</v>
      </c>
      <c r="S17" s="14"/>
      <c r="T17" s="14"/>
    </row>
    <row r="18" spans="1:20" ht="28.3">
      <c r="A18" s="56">
        <v>14</v>
      </c>
      <c r="B18" s="2" t="s">
        <v>162</v>
      </c>
      <c r="C18" s="9"/>
      <c r="D18" s="9" t="s">
        <v>132</v>
      </c>
      <c r="E18" s="9"/>
      <c r="F18" s="9"/>
      <c r="G18" s="9"/>
      <c r="H18" s="9"/>
      <c r="I18" s="9" t="str">
        <f t="shared" si="0"/>
        <v>Размерность предприятия-заемщика СХТП, согласно критериев Предпринимательского кодекса РК (Код КРП с учетом филиалов)</v>
      </c>
      <c r="J18" s="9" t="s">
        <v>132</v>
      </c>
      <c r="K18" s="10" t="s">
        <v>71</v>
      </c>
      <c r="L18" s="10" t="s">
        <v>76</v>
      </c>
      <c r="M18" s="10" t="s">
        <v>77</v>
      </c>
      <c r="N18" s="10" t="s">
        <v>79</v>
      </c>
      <c r="O18" s="12" t="s">
        <v>81</v>
      </c>
      <c r="P18" s="36" t="s">
        <v>299</v>
      </c>
      <c r="Q18" s="12" t="s">
        <v>86</v>
      </c>
      <c r="R18" s="12" t="s">
        <v>83</v>
      </c>
      <c r="S18" s="14"/>
      <c r="T18" s="14"/>
    </row>
    <row r="19" spans="1:20">
      <c r="A19" s="56">
        <v>15</v>
      </c>
      <c r="B19" s="2" t="s">
        <v>163</v>
      </c>
      <c r="C19" s="4"/>
      <c r="D19" s="23" t="s">
        <v>4</v>
      </c>
      <c r="E19" s="4"/>
      <c r="F19" s="23"/>
      <c r="G19" s="4"/>
      <c r="H19" s="4"/>
      <c r="I19" s="4" t="str">
        <f t="shared" si="0"/>
        <v>Контакты заявителя</v>
      </c>
      <c r="J19" s="4" t="s">
        <v>4</v>
      </c>
      <c r="K19" s="5"/>
      <c r="L19" s="5"/>
      <c r="M19" s="5" t="s">
        <v>78</v>
      </c>
      <c r="N19" s="5" t="s">
        <v>79</v>
      </c>
      <c r="O19" s="6" t="s">
        <v>81</v>
      </c>
      <c r="P19" s="31"/>
      <c r="Q19" s="6"/>
      <c r="R19" s="5"/>
      <c r="S19" s="14"/>
      <c r="T19" s="14"/>
    </row>
    <row r="20" spans="1:20">
      <c r="A20" s="56">
        <v>16</v>
      </c>
      <c r="B20" s="2" t="s">
        <v>164</v>
      </c>
      <c r="C20" s="9"/>
      <c r="D20" s="24"/>
      <c r="E20" s="9" t="s">
        <v>102</v>
      </c>
      <c r="F20" s="24"/>
      <c r="G20" s="9"/>
      <c r="H20" s="9"/>
      <c r="I20" s="9" t="str">
        <f t="shared" si="0"/>
        <v xml:space="preserve">ФИО </v>
      </c>
      <c r="J20" s="9" t="s">
        <v>102</v>
      </c>
      <c r="K20" s="10" t="s">
        <v>71</v>
      </c>
      <c r="L20" s="10" t="s">
        <v>74</v>
      </c>
      <c r="M20" s="10" t="s">
        <v>77</v>
      </c>
      <c r="N20" s="10" t="s">
        <v>79</v>
      </c>
      <c r="O20" s="12" t="s">
        <v>81</v>
      </c>
      <c r="P20" s="31"/>
      <c r="Q20" s="12" t="s">
        <v>86</v>
      </c>
      <c r="R20" s="10" t="s">
        <v>84</v>
      </c>
      <c r="S20" s="14"/>
      <c r="T20" s="14"/>
    </row>
    <row r="21" spans="1:20">
      <c r="A21" s="56">
        <v>17</v>
      </c>
      <c r="B21" s="2" t="s">
        <v>165</v>
      </c>
      <c r="C21" s="9"/>
      <c r="D21" s="24"/>
      <c r="E21" s="9" t="s">
        <v>5</v>
      </c>
      <c r="F21" s="24"/>
      <c r="G21" s="9"/>
      <c r="H21" s="9"/>
      <c r="I21" s="9" t="str">
        <f t="shared" si="0"/>
        <v>Телефон</v>
      </c>
      <c r="J21" s="9" t="s">
        <v>5</v>
      </c>
      <c r="K21" s="10" t="s">
        <v>71</v>
      </c>
      <c r="L21" s="10" t="s">
        <v>75</v>
      </c>
      <c r="M21" s="10" t="s">
        <v>77</v>
      </c>
      <c r="N21" s="10" t="s">
        <v>79</v>
      </c>
      <c r="O21" s="12" t="s">
        <v>81</v>
      </c>
      <c r="P21" s="31"/>
      <c r="Q21" s="12" t="s">
        <v>86</v>
      </c>
      <c r="R21" s="12" t="s">
        <v>84</v>
      </c>
      <c r="S21" s="14"/>
      <c r="T21" s="14"/>
    </row>
    <row r="22" spans="1:20">
      <c r="A22" s="56">
        <v>18</v>
      </c>
      <c r="B22" s="2" t="s">
        <v>166</v>
      </c>
      <c r="C22" s="25" t="s">
        <v>1</v>
      </c>
      <c r="D22" s="4"/>
      <c r="E22" s="4"/>
      <c r="F22" s="4"/>
      <c r="G22" s="4"/>
      <c r="H22" s="4"/>
      <c r="I22" s="4" t="str">
        <f t="shared" si="0"/>
        <v>Паспорт проекта</v>
      </c>
      <c r="J22" s="4" t="s">
        <v>1</v>
      </c>
      <c r="K22" s="5"/>
      <c r="L22" s="5"/>
      <c r="M22" s="5" t="s">
        <v>78</v>
      </c>
      <c r="N22" s="5" t="s">
        <v>79</v>
      </c>
      <c r="O22" s="6" t="s">
        <v>81</v>
      </c>
      <c r="P22" s="31"/>
      <c r="Q22" s="6"/>
      <c r="R22" s="6"/>
      <c r="S22" s="14"/>
      <c r="T22" s="14"/>
    </row>
    <row r="23" spans="1:20">
      <c r="A23" s="56">
        <v>19</v>
      </c>
      <c r="B23" s="2" t="s">
        <v>167</v>
      </c>
      <c r="C23" s="26"/>
      <c r="D23" s="9" t="s">
        <v>133</v>
      </c>
      <c r="E23" s="9"/>
      <c r="F23" s="9"/>
      <c r="G23" s="9"/>
      <c r="H23" s="9"/>
      <c r="I23" s="9" t="str">
        <f t="shared" si="0"/>
        <v>Целевое назначение</v>
      </c>
      <c r="J23" s="9" t="s">
        <v>133</v>
      </c>
      <c r="K23" s="10" t="s">
        <v>71</v>
      </c>
      <c r="L23" s="10" t="s">
        <v>74</v>
      </c>
      <c r="M23" s="10" t="s">
        <v>77</v>
      </c>
      <c r="N23" s="10" t="s">
        <v>79</v>
      </c>
      <c r="O23" s="12" t="s">
        <v>81</v>
      </c>
      <c r="P23" s="31"/>
      <c r="Q23" s="12" t="s">
        <v>86</v>
      </c>
      <c r="R23" s="12" t="s">
        <v>83</v>
      </c>
      <c r="S23" s="14"/>
      <c r="T23" s="14"/>
    </row>
    <row r="24" spans="1:20" ht="28.3">
      <c r="A24" s="56">
        <v>20</v>
      </c>
      <c r="B24" s="2" t="s">
        <v>168</v>
      </c>
      <c r="C24" s="26"/>
      <c r="D24" s="9" t="s">
        <v>2</v>
      </c>
      <c r="E24" s="9"/>
      <c r="F24" s="9"/>
      <c r="G24" s="9"/>
      <c r="H24" s="9"/>
      <c r="I24" s="9" t="str">
        <f t="shared" si="0"/>
        <v>Область реализации проекта (если за пределами Республики Казахстан-наименование страны)</v>
      </c>
      <c r="J24" s="9" t="s">
        <v>2</v>
      </c>
      <c r="K24" s="10" t="s">
        <v>71</v>
      </c>
      <c r="L24" s="10" t="s">
        <v>76</v>
      </c>
      <c r="M24" s="10" t="s">
        <v>77</v>
      </c>
      <c r="N24" s="10" t="s">
        <v>79</v>
      </c>
      <c r="O24" s="12" t="s">
        <v>81</v>
      </c>
      <c r="P24" s="36" t="s">
        <v>300</v>
      </c>
      <c r="Q24" s="12" t="s">
        <v>86</v>
      </c>
      <c r="R24" s="12" t="s">
        <v>83</v>
      </c>
      <c r="S24" s="14"/>
      <c r="T24" s="14"/>
    </row>
    <row r="25" spans="1:20">
      <c r="A25" s="56">
        <v>21</v>
      </c>
      <c r="B25" s="2" t="s">
        <v>169</v>
      </c>
      <c r="C25" s="25"/>
      <c r="D25" s="4" t="s">
        <v>93</v>
      </c>
      <c r="E25" s="4"/>
      <c r="F25" s="4"/>
      <c r="G25" s="4"/>
      <c r="H25" s="4"/>
      <c r="I25" s="4" t="str">
        <f t="shared" si="0"/>
        <v>Место реализации проекта</v>
      </c>
      <c r="J25" s="4" t="s">
        <v>93</v>
      </c>
      <c r="K25" s="5"/>
      <c r="L25" s="5"/>
      <c r="M25" s="6" t="s">
        <v>78</v>
      </c>
      <c r="N25" s="6" t="s">
        <v>79</v>
      </c>
      <c r="O25" s="6" t="s">
        <v>81</v>
      </c>
      <c r="P25" s="31"/>
      <c r="Q25" s="6"/>
      <c r="R25" s="6"/>
      <c r="S25" s="15"/>
      <c r="T25" s="15"/>
    </row>
    <row r="26" spans="1:20">
      <c r="A26" s="56">
        <v>22</v>
      </c>
      <c r="B26" s="2" t="s">
        <v>170</v>
      </c>
      <c r="C26" s="26"/>
      <c r="D26" s="9"/>
      <c r="E26" s="9" t="s">
        <v>285</v>
      </c>
      <c r="F26" s="9"/>
      <c r="G26" s="9"/>
      <c r="H26" s="9"/>
      <c r="I26" s="9" t="str">
        <f t="shared" si="0"/>
        <v>город</v>
      </c>
      <c r="J26" s="9" t="s">
        <v>285</v>
      </c>
      <c r="K26" s="10" t="s">
        <v>71</v>
      </c>
      <c r="L26" s="10" t="s">
        <v>76</v>
      </c>
      <c r="M26" s="10" t="s">
        <v>77</v>
      </c>
      <c r="N26" s="10" t="s">
        <v>79</v>
      </c>
      <c r="O26" s="12" t="s">
        <v>81</v>
      </c>
      <c r="P26" s="36" t="s">
        <v>301</v>
      </c>
      <c r="Q26" s="12" t="s">
        <v>86</v>
      </c>
      <c r="R26" s="12" t="s">
        <v>83</v>
      </c>
      <c r="S26" s="15"/>
      <c r="T26" s="15"/>
    </row>
    <row r="27" spans="1:20">
      <c r="A27" s="56">
        <v>23</v>
      </c>
      <c r="B27" s="2" t="s">
        <v>171</v>
      </c>
      <c r="C27" s="26"/>
      <c r="D27" s="9"/>
      <c r="E27" s="9" t="s">
        <v>286</v>
      </c>
      <c r="F27" s="9"/>
      <c r="G27" s="9"/>
      <c r="H27" s="9"/>
      <c r="I27" s="9" t="str">
        <f t="shared" si="0"/>
        <v>район</v>
      </c>
      <c r="J27" s="9" t="s">
        <v>286</v>
      </c>
      <c r="K27" s="10" t="s">
        <v>71</v>
      </c>
      <c r="L27" s="10" t="s">
        <v>76</v>
      </c>
      <c r="M27" s="10" t="s">
        <v>77</v>
      </c>
      <c r="N27" s="10" t="s">
        <v>79</v>
      </c>
      <c r="O27" s="12" t="s">
        <v>81</v>
      </c>
      <c r="P27" s="36" t="s">
        <v>301</v>
      </c>
      <c r="Q27" s="12" t="s">
        <v>86</v>
      </c>
      <c r="R27" s="12" t="s">
        <v>83</v>
      </c>
      <c r="S27" s="15"/>
      <c r="T27" s="15"/>
    </row>
    <row r="28" spans="1:20">
      <c r="A28" s="56">
        <v>24</v>
      </c>
      <c r="B28" s="2" t="s">
        <v>172</v>
      </c>
      <c r="C28" s="26"/>
      <c r="D28" s="9" t="s">
        <v>101</v>
      </c>
      <c r="E28" s="9"/>
      <c r="F28" s="9"/>
      <c r="G28" s="9"/>
      <c r="H28" s="9"/>
      <c r="I28" s="9" t="str">
        <f t="shared" si="0"/>
        <v xml:space="preserve">Вид экономической деятельности (указать ОКЭД на 2 знаках ) </v>
      </c>
      <c r="J28" s="9" t="s">
        <v>101</v>
      </c>
      <c r="K28" s="10" t="s">
        <v>71</v>
      </c>
      <c r="L28" s="10" t="s">
        <v>76</v>
      </c>
      <c r="M28" s="10" t="s">
        <v>77</v>
      </c>
      <c r="N28" s="10" t="s">
        <v>79</v>
      </c>
      <c r="O28" s="12" t="s">
        <v>81</v>
      </c>
      <c r="P28" s="36" t="s">
        <v>302</v>
      </c>
      <c r="Q28" s="12" t="s">
        <v>86</v>
      </c>
      <c r="R28" s="12" t="s">
        <v>84</v>
      </c>
      <c r="S28" s="14"/>
      <c r="T28" s="14"/>
    </row>
    <row r="29" spans="1:20" ht="28.3">
      <c r="A29" s="56">
        <v>25</v>
      </c>
      <c r="B29" s="2" t="s">
        <v>173</v>
      </c>
      <c r="C29" s="26"/>
      <c r="D29" s="9" t="s">
        <v>134</v>
      </c>
      <c r="E29" s="9"/>
      <c r="F29" s="9"/>
      <c r="G29" s="9"/>
      <c r="H29" s="9"/>
      <c r="I29" s="9" t="str">
        <f t="shared" si="0"/>
        <v>ОКЭД по проекту (числовое значение - 5 знаков, возможно исключение для С/Х числовое значение - 3 знаков)</v>
      </c>
      <c r="J29" s="9" t="s">
        <v>134</v>
      </c>
      <c r="K29" s="10" t="s">
        <v>71</v>
      </c>
      <c r="L29" s="10" t="s">
        <v>76</v>
      </c>
      <c r="M29" s="10" t="s">
        <v>77</v>
      </c>
      <c r="N29" s="10" t="s">
        <v>79</v>
      </c>
      <c r="O29" s="12" t="s">
        <v>81</v>
      </c>
      <c r="P29" s="36" t="s">
        <v>302</v>
      </c>
      <c r="Q29" s="12" t="s">
        <v>86</v>
      </c>
      <c r="R29" s="12" t="s">
        <v>84</v>
      </c>
      <c r="S29" s="14"/>
      <c r="T29" s="14"/>
    </row>
    <row r="30" spans="1:20">
      <c r="A30" s="56">
        <v>26</v>
      </c>
      <c r="B30" s="2" t="s">
        <v>174</v>
      </c>
      <c r="C30" s="26"/>
      <c r="D30" s="9" t="s">
        <v>353</v>
      </c>
      <c r="E30" s="9"/>
      <c r="F30" s="9"/>
      <c r="G30" s="9"/>
      <c r="H30" s="9"/>
      <c r="I30" s="9" t="str">
        <f t="shared" si="0"/>
        <v xml:space="preserve">Классификация проекта </v>
      </c>
      <c r="J30" s="9" t="s">
        <v>65</v>
      </c>
      <c r="K30" s="10" t="s">
        <v>71</v>
      </c>
      <c r="L30" s="10" t="s">
        <v>76</v>
      </c>
      <c r="M30" s="10" t="s">
        <v>77</v>
      </c>
      <c r="N30" s="10" t="s">
        <v>79</v>
      </c>
      <c r="O30" s="12" t="s">
        <v>81</v>
      </c>
      <c r="P30" s="36" t="s">
        <v>303</v>
      </c>
      <c r="Q30" s="12" t="s">
        <v>86</v>
      </c>
      <c r="R30" s="12" t="s">
        <v>84</v>
      </c>
      <c r="S30" s="14"/>
      <c r="T30" s="14"/>
    </row>
    <row r="31" spans="1:20">
      <c r="A31" s="56">
        <v>27</v>
      </c>
      <c r="B31" s="2" t="s">
        <v>175</v>
      </c>
      <c r="C31" s="25"/>
      <c r="D31" s="4" t="s">
        <v>314</v>
      </c>
      <c r="E31" s="4"/>
      <c r="F31" s="4"/>
      <c r="G31" s="4"/>
      <c r="H31" s="4"/>
      <c r="I31" s="4" t="str">
        <f t="shared" si="0"/>
        <v>Мощность проекта</v>
      </c>
      <c r="J31" s="4" t="s">
        <v>314</v>
      </c>
      <c r="K31" s="5"/>
      <c r="L31" s="5"/>
      <c r="M31" s="5" t="s">
        <v>78</v>
      </c>
      <c r="N31" s="5" t="s">
        <v>80</v>
      </c>
      <c r="O31" s="6" t="s">
        <v>81</v>
      </c>
      <c r="P31" s="36"/>
      <c r="Q31" s="6"/>
      <c r="R31" s="6"/>
      <c r="S31" s="14"/>
      <c r="T31" s="14"/>
    </row>
    <row r="32" spans="1:20">
      <c r="A32" s="56">
        <v>28</v>
      </c>
      <c r="B32" s="2" t="s">
        <v>176</v>
      </c>
      <c r="C32" s="25"/>
      <c r="D32" s="4"/>
      <c r="E32" s="4" t="s">
        <v>135</v>
      </c>
      <c r="F32" s="4"/>
      <c r="G32" s="4"/>
      <c r="H32" s="4"/>
      <c r="I32" s="4" t="str">
        <f t="shared" si="0"/>
        <v>Планируемая мощность</v>
      </c>
      <c r="J32" s="4" t="s">
        <v>135</v>
      </c>
      <c r="K32" s="5"/>
      <c r="L32" s="5"/>
      <c r="M32" s="5" t="s">
        <v>78</v>
      </c>
      <c r="N32" s="5" t="s">
        <v>79</v>
      </c>
      <c r="O32" s="6" t="s">
        <v>81</v>
      </c>
      <c r="P32" s="31"/>
      <c r="Q32" s="6"/>
      <c r="R32" s="6"/>
      <c r="S32" s="15"/>
      <c r="T32" s="15"/>
    </row>
    <row r="33" spans="1:20">
      <c r="A33" s="56">
        <v>29</v>
      </c>
      <c r="B33" s="2" t="s">
        <v>177</v>
      </c>
      <c r="C33" s="26"/>
      <c r="D33" s="9"/>
      <c r="E33" s="9"/>
      <c r="F33" s="9" t="s">
        <v>136</v>
      </c>
      <c r="G33" s="9"/>
      <c r="H33" s="9"/>
      <c r="I33" s="9" t="str">
        <f t="shared" si="0"/>
        <v>Наименование продукции</v>
      </c>
      <c r="J33" s="9" t="s">
        <v>136</v>
      </c>
      <c r="K33" s="10" t="s">
        <v>71</v>
      </c>
      <c r="L33" s="10" t="s">
        <v>76</v>
      </c>
      <c r="M33" s="10" t="s">
        <v>77</v>
      </c>
      <c r="N33" s="10" t="s">
        <v>79</v>
      </c>
      <c r="O33" s="12" t="s">
        <v>81</v>
      </c>
      <c r="P33" s="34" t="s">
        <v>323</v>
      </c>
      <c r="Q33" s="12" t="s">
        <v>86</v>
      </c>
      <c r="R33" s="12" t="s">
        <v>84</v>
      </c>
      <c r="S33" s="15"/>
      <c r="T33" s="15"/>
    </row>
    <row r="34" spans="1:20">
      <c r="A34" s="56">
        <v>30</v>
      </c>
      <c r="B34" s="2" t="s">
        <v>178</v>
      </c>
      <c r="C34" s="26"/>
      <c r="D34" s="9"/>
      <c r="E34" s="9"/>
      <c r="F34" s="9" t="s">
        <v>137</v>
      </c>
      <c r="G34" s="9"/>
      <c r="H34" s="9"/>
      <c r="I34" s="9" t="str">
        <f t="shared" si="0"/>
        <v>Колич. Значение</v>
      </c>
      <c r="J34" s="9" t="s">
        <v>137</v>
      </c>
      <c r="K34" s="10" t="s">
        <v>72</v>
      </c>
      <c r="L34" s="10" t="s">
        <v>75</v>
      </c>
      <c r="M34" s="10" t="s">
        <v>77</v>
      </c>
      <c r="N34" s="10" t="s">
        <v>79</v>
      </c>
      <c r="O34" s="12" t="s">
        <v>81</v>
      </c>
      <c r="P34" s="31"/>
      <c r="Q34" s="12" t="s">
        <v>86</v>
      </c>
      <c r="R34" s="12" t="s">
        <v>84</v>
      </c>
      <c r="S34" s="14"/>
      <c r="T34" s="14"/>
    </row>
    <row r="35" spans="1:20">
      <c r="A35" s="56">
        <v>31</v>
      </c>
      <c r="B35" s="2" t="s">
        <v>179</v>
      </c>
      <c r="C35" s="26"/>
      <c r="D35" s="9"/>
      <c r="E35" s="9"/>
      <c r="F35" s="9" t="s">
        <v>346</v>
      </c>
      <c r="G35" s="9"/>
      <c r="H35" s="9"/>
      <c r="I35" s="9" t="str">
        <f t="shared" si="0"/>
        <v>Ед.изм</v>
      </c>
      <c r="J35" s="9" t="s">
        <v>138</v>
      </c>
      <c r="K35" s="10" t="s">
        <v>71</v>
      </c>
      <c r="L35" s="10" t="s">
        <v>76</v>
      </c>
      <c r="M35" s="10" t="s">
        <v>77</v>
      </c>
      <c r="N35" s="10" t="s">
        <v>79</v>
      </c>
      <c r="O35" s="12" t="s">
        <v>81</v>
      </c>
      <c r="P35" s="34" t="s">
        <v>319</v>
      </c>
      <c r="Q35" s="12" t="s">
        <v>86</v>
      </c>
      <c r="R35" s="12" t="s">
        <v>84</v>
      </c>
      <c r="S35" s="14"/>
      <c r="T35" s="14"/>
    </row>
    <row r="36" spans="1:20">
      <c r="A36" s="56">
        <v>32</v>
      </c>
      <c r="B36" s="2" t="s">
        <v>180</v>
      </c>
      <c r="C36" s="25"/>
      <c r="D36" s="4"/>
      <c r="E36" s="4" t="s">
        <v>139</v>
      </c>
      <c r="F36" s="4"/>
      <c r="G36" s="4"/>
      <c r="H36" s="4"/>
      <c r="I36" s="4" t="str">
        <f t="shared" si="0"/>
        <v>Фактическая мощность</v>
      </c>
      <c r="J36" s="4" t="s">
        <v>139</v>
      </c>
      <c r="K36" s="5"/>
      <c r="L36" s="5"/>
      <c r="M36" s="5" t="s">
        <v>78</v>
      </c>
      <c r="N36" s="5" t="s">
        <v>79</v>
      </c>
      <c r="O36" s="6" t="s">
        <v>81</v>
      </c>
      <c r="P36" s="31"/>
      <c r="Q36" s="6"/>
      <c r="R36" s="6"/>
      <c r="S36" s="14"/>
      <c r="T36" s="14"/>
    </row>
    <row r="37" spans="1:20">
      <c r="A37" s="56">
        <v>33</v>
      </c>
      <c r="B37" s="2" t="s">
        <v>181</v>
      </c>
      <c r="C37" s="26"/>
      <c r="D37" s="9"/>
      <c r="E37" s="9"/>
      <c r="F37" s="9" t="s">
        <v>136</v>
      </c>
      <c r="G37" s="9"/>
      <c r="H37" s="9"/>
      <c r="I37" s="9" t="str">
        <f t="shared" si="0"/>
        <v>Наименование продукции</v>
      </c>
      <c r="J37" s="9" t="s">
        <v>136</v>
      </c>
      <c r="K37" s="10" t="s">
        <v>71</v>
      </c>
      <c r="L37" s="10" t="s">
        <v>76</v>
      </c>
      <c r="M37" s="10" t="s">
        <v>77</v>
      </c>
      <c r="N37" s="10" t="s">
        <v>79</v>
      </c>
      <c r="O37" s="12" t="s">
        <v>81</v>
      </c>
      <c r="P37" s="34" t="s">
        <v>323</v>
      </c>
      <c r="Q37" s="12" t="s">
        <v>86</v>
      </c>
      <c r="R37" s="12" t="s">
        <v>84</v>
      </c>
      <c r="S37" s="14"/>
      <c r="T37" s="14"/>
    </row>
    <row r="38" spans="1:20">
      <c r="A38" s="56">
        <v>34</v>
      </c>
      <c r="B38" s="2" t="s">
        <v>182</v>
      </c>
      <c r="C38" s="26"/>
      <c r="D38" s="9"/>
      <c r="E38" s="9"/>
      <c r="F38" s="9" t="s">
        <v>137</v>
      </c>
      <c r="G38" s="9"/>
      <c r="H38" s="9"/>
      <c r="I38" s="9" t="str">
        <f t="shared" si="0"/>
        <v>Колич. Значение</v>
      </c>
      <c r="J38" s="9" t="s">
        <v>137</v>
      </c>
      <c r="K38" s="10" t="s">
        <v>72</v>
      </c>
      <c r="L38" s="10" t="s">
        <v>75</v>
      </c>
      <c r="M38" s="10" t="s">
        <v>77</v>
      </c>
      <c r="N38" s="10" t="s">
        <v>79</v>
      </c>
      <c r="O38" s="12" t="s">
        <v>81</v>
      </c>
      <c r="P38" s="35"/>
      <c r="Q38" s="12" t="s">
        <v>86</v>
      </c>
      <c r="R38" s="10" t="s">
        <v>84</v>
      </c>
      <c r="S38" s="14"/>
      <c r="T38" s="14"/>
    </row>
    <row r="39" spans="1:20">
      <c r="A39" s="56">
        <v>35</v>
      </c>
      <c r="B39" s="2" t="s">
        <v>183</v>
      </c>
      <c r="C39" s="26"/>
      <c r="D39" s="9"/>
      <c r="E39" s="9"/>
      <c r="F39" s="9" t="s">
        <v>346</v>
      </c>
      <c r="G39" s="9"/>
      <c r="H39" s="9"/>
      <c r="I39" s="9" t="str">
        <f t="shared" ref="I39:I70" si="3">_xlfn.TEXTJOIN(".",TRUE(),C39:H39)</f>
        <v>Ед.изм</v>
      </c>
      <c r="J39" s="9" t="s">
        <v>138</v>
      </c>
      <c r="K39" s="10" t="s">
        <v>71</v>
      </c>
      <c r="L39" s="10" t="s">
        <v>76</v>
      </c>
      <c r="M39" s="10" t="s">
        <v>77</v>
      </c>
      <c r="N39" s="10" t="s">
        <v>79</v>
      </c>
      <c r="O39" s="12" t="s">
        <v>81</v>
      </c>
      <c r="P39" s="34" t="s">
        <v>319</v>
      </c>
      <c r="Q39" s="12" t="s">
        <v>86</v>
      </c>
      <c r="R39" s="12" t="s">
        <v>84</v>
      </c>
      <c r="S39" s="14"/>
      <c r="T39" s="14"/>
    </row>
    <row r="40" spans="1:20">
      <c r="A40" s="56">
        <v>36</v>
      </c>
      <c r="B40" s="2" t="s">
        <v>184</v>
      </c>
      <c r="C40" s="25" t="s">
        <v>6</v>
      </c>
      <c r="D40" s="4"/>
      <c r="E40" s="4"/>
      <c r="F40" s="4"/>
      <c r="G40" s="4"/>
      <c r="H40" s="4"/>
      <c r="I40" s="4" t="str">
        <f t="shared" si="3"/>
        <v>Финансовый раздел</v>
      </c>
      <c r="J40" s="4" t="s">
        <v>6</v>
      </c>
      <c r="K40" s="5"/>
      <c r="L40" s="5"/>
      <c r="M40" s="5" t="s">
        <v>78</v>
      </c>
      <c r="N40" s="5" t="s">
        <v>79</v>
      </c>
      <c r="O40" s="6" t="s">
        <v>81</v>
      </c>
      <c r="P40" s="35"/>
      <c r="Q40" s="6"/>
      <c r="R40" s="6"/>
      <c r="S40" s="14"/>
      <c r="T40" s="14"/>
    </row>
    <row r="41" spans="1:20">
      <c r="A41" s="56">
        <v>37</v>
      </c>
      <c r="B41" s="2" t="s">
        <v>185</v>
      </c>
      <c r="C41" s="26"/>
      <c r="D41" s="9" t="s">
        <v>103</v>
      </c>
      <c r="E41" s="9"/>
      <c r="F41" s="9"/>
      <c r="G41" s="9"/>
      <c r="H41" s="9"/>
      <c r="I41" s="9" t="str">
        <f t="shared" si="3"/>
        <v>Планируемый объем финансирования (стоимость проекта), тенге</v>
      </c>
      <c r="J41" s="9" t="s">
        <v>103</v>
      </c>
      <c r="K41" s="10" t="s">
        <v>73</v>
      </c>
      <c r="L41" s="10" t="s">
        <v>75</v>
      </c>
      <c r="M41" s="10" t="s">
        <v>77</v>
      </c>
      <c r="N41" s="10" t="s">
        <v>79</v>
      </c>
      <c r="O41" s="12" t="s">
        <v>81</v>
      </c>
      <c r="P41" s="35"/>
      <c r="Q41" s="12" t="s">
        <v>86</v>
      </c>
      <c r="R41" s="12" t="s">
        <v>84</v>
      </c>
      <c r="S41" s="14"/>
      <c r="T41" s="14"/>
    </row>
    <row r="42" spans="1:20" ht="30.75" customHeight="1">
      <c r="A42" s="56">
        <v>38</v>
      </c>
      <c r="B42" s="2" t="s">
        <v>186</v>
      </c>
      <c r="C42" s="25"/>
      <c r="D42" s="4" t="s">
        <v>104</v>
      </c>
      <c r="E42" s="4"/>
      <c r="F42" s="4"/>
      <c r="G42" s="4"/>
      <c r="H42" s="4"/>
      <c r="I42" s="4" t="str">
        <f t="shared" si="3"/>
        <v>Планируемый объем финансирования (в случае валютного финансирования), валюта</v>
      </c>
      <c r="J42" s="4" t="s">
        <v>104</v>
      </c>
      <c r="K42" s="5"/>
      <c r="L42" s="5"/>
      <c r="M42" s="5" t="s">
        <v>78</v>
      </c>
      <c r="N42" s="5" t="s">
        <v>80</v>
      </c>
      <c r="O42" s="6" t="s">
        <v>81</v>
      </c>
      <c r="P42" s="31"/>
      <c r="Q42" s="6"/>
      <c r="R42" s="6"/>
      <c r="S42" s="14"/>
      <c r="T42" s="14"/>
    </row>
    <row r="43" spans="1:20" ht="15.65" customHeight="1">
      <c r="A43" s="56">
        <v>39</v>
      </c>
      <c r="B43" s="2" t="s">
        <v>187</v>
      </c>
      <c r="C43" s="26"/>
      <c r="D43" s="9"/>
      <c r="E43" s="9" t="s">
        <v>140</v>
      </c>
      <c r="F43" s="9"/>
      <c r="G43" s="9"/>
      <c r="H43" s="9"/>
      <c r="I43" s="9" t="str">
        <f t="shared" si="3"/>
        <v>сумма</v>
      </c>
      <c r="J43" s="9" t="s">
        <v>140</v>
      </c>
      <c r="K43" s="10" t="s">
        <v>73</v>
      </c>
      <c r="L43" s="10" t="s">
        <v>75</v>
      </c>
      <c r="M43" s="10" t="s">
        <v>77</v>
      </c>
      <c r="N43" s="10" t="s">
        <v>79</v>
      </c>
      <c r="O43" s="12" t="s">
        <v>81</v>
      </c>
      <c r="P43" s="31"/>
      <c r="Q43" s="12" t="s">
        <v>86</v>
      </c>
      <c r="R43" s="12" t="s">
        <v>84</v>
      </c>
      <c r="S43" s="14"/>
      <c r="T43" s="14"/>
    </row>
    <row r="44" spans="1:20">
      <c r="A44" s="56">
        <v>40</v>
      </c>
      <c r="B44" s="2" t="s">
        <v>188</v>
      </c>
      <c r="C44" s="26"/>
      <c r="D44" s="9"/>
      <c r="E44" s="9" t="s">
        <v>7</v>
      </c>
      <c r="F44" s="9"/>
      <c r="G44" s="9"/>
      <c r="H44" s="9"/>
      <c r="I44" s="9" t="str">
        <f t="shared" si="3"/>
        <v>валюта</v>
      </c>
      <c r="J44" s="9" t="s">
        <v>7</v>
      </c>
      <c r="K44" s="10" t="s">
        <v>73</v>
      </c>
      <c r="L44" s="10" t="s">
        <v>76</v>
      </c>
      <c r="M44" s="10" t="s">
        <v>77</v>
      </c>
      <c r="N44" s="10" t="s">
        <v>79</v>
      </c>
      <c r="O44" s="12" t="s">
        <v>81</v>
      </c>
      <c r="P44" s="36" t="s">
        <v>309</v>
      </c>
      <c r="Q44" s="12" t="s">
        <v>86</v>
      </c>
      <c r="R44" s="12" t="s">
        <v>84</v>
      </c>
      <c r="S44" s="14"/>
      <c r="T44" s="14"/>
    </row>
    <row r="45" spans="1:20">
      <c r="A45" s="56">
        <v>41</v>
      </c>
      <c r="B45" s="2" t="s">
        <v>189</v>
      </c>
      <c r="C45" s="25"/>
      <c r="D45" s="4" t="s">
        <v>8</v>
      </c>
      <c r="E45" s="4"/>
      <c r="F45" s="4"/>
      <c r="G45" s="4"/>
      <c r="H45" s="4"/>
      <c r="I45" s="4" t="str">
        <f t="shared" si="3"/>
        <v>Структура финансирования</v>
      </c>
      <c r="J45" s="4" t="s">
        <v>8</v>
      </c>
      <c r="K45" s="5"/>
      <c r="L45" s="5"/>
      <c r="M45" s="5" t="s">
        <v>78</v>
      </c>
      <c r="N45" s="5" t="s">
        <v>79</v>
      </c>
      <c r="O45" s="6" t="s">
        <v>81</v>
      </c>
      <c r="P45" s="35"/>
      <c r="Q45" s="6"/>
      <c r="R45" s="6"/>
      <c r="S45" s="14"/>
      <c r="T45" s="14"/>
    </row>
    <row r="46" spans="1:20" ht="42.45">
      <c r="A46" s="56">
        <v>42</v>
      </c>
      <c r="B46" s="2" t="s">
        <v>190</v>
      </c>
      <c r="C46" s="26"/>
      <c r="D46" s="9"/>
      <c r="E46" s="9" t="s">
        <v>347</v>
      </c>
      <c r="F46" s="9"/>
      <c r="G46" s="9"/>
      <c r="H46" s="9"/>
      <c r="I46" s="9" t="str">
        <f t="shared" si="3"/>
        <v>Собственные средства</v>
      </c>
      <c r="J46" s="9" t="s">
        <v>105</v>
      </c>
      <c r="K46" s="10" t="s">
        <v>73</v>
      </c>
      <c r="L46" s="10" t="s">
        <v>75</v>
      </c>
      <c r="M46" s="10" t="s">
        <v>77</v>
      </c>
      <c r="N46" s="10" t="s">
        <v>79</v>
      </c>
      <c r="O46" s="12" t="s">
        <v>81</v>
      </c>
      <c r="P46" s="35"/>
      <c r="Q46" s="12" t="s">
        <v>86</v>
      </c>
      <c r="R46" s="12" t="s">
        <v>84</v>
      </c>
      <c r="S46" s="14"/>
      <c r="T46" s="14"/>
    </row>
    <row r="47" spans="1:20" ht="28.3">
      <c r="A47" s="56">
        <v>43</v>
      </c>
      <c r="B47" s="2" t="s">
        <v>191</v>
      </c>
      <c r="C47" s="26"/>
      <c r="D47" s="9"/>
      <c r="E47" s="9" t="s">
        <v>141</v>
      </c>
      <c r="F47" s="9"/>
      <c r="G47" s="9"/>
      <c r="H47" s="9"/>
      <c r="I47" s="9" t="str">
        <f t="shared" si="3"/>
        <v>Сумма финансовой поддержки от ДО/ДЗО Холдинга (плановая), тенге</v>
      </c>
      <c r="J47" s="9" t="s">
        <v>141</v>
      </c>
      <c r="K47" s="10" t="s">
        <v>73</v>
      </c>
      <c r="L47" s="10" t="s">
        <v>75</v>
      </c>
      <c r="M47" s="10" t="s">
        <v>77</v>
      </c>
      <c r="N47" s="10" t="s">
        <v>79</v>
      </c>
      <c r="O47" s="12" t="s">
        <v>81</v>
      </c>
      <c r="P47" s="35"/>
      <c r="Q47" s="12" t="s">
        <v>86</v>
      </c>
      <c r="R47" s="12" t="s">
        <v>84</v>
      </c>
      <c r="S47" s="14"/>
      <c r="T47" s="14"/>
    </row>
    <row r="48" spans="1:20" ht="15.65" customHeight="1">
      <c r="A48" s="56">
        <v>44</v>
      </c>
      <c r="B48" s="2" t="s">
        <v>192</v>
      </c>
      <c r="C48" s="25"/>
      <c r="D48" s="4"/>
      <c r="E48" s="4" t="s">
        <v>9</v>
      </c>
      <c r="F48" s="4"/>
      <c r="G48" s="4"/>
      <c r="H48" s="4"/>
      <c r="I48" s="4" t="str">
        <f t="shared" si="3"/>
        <v>Источник фондирования Холдинга</v>
      </c>
      <c r="J48" s="4" t="s">
        <v>9</v>
      </c>
      <c r="K48" s="5"/>
      <c r="L48" s="5"/>
      <c r="M48" s="5" t="s">
        <v>78</v>
      </c>
      <c r="N48" s="5" t="s">
        <v>80</v>
      </c>
      <c r="O48" s="6" t="s">
        <v>81</v>
      </c>
      <c r="P48" s="31"/>
      <c r="Q48" s="6"/>
      <c r="R48" s="6"/>
      <c r="S48" s="15"/>
      <c r="T48" s="15"/>
    </row>
    <row r="49" spans="1:20" ht="15.65" customHeight="1">
      <c r="A49" s="56">
        <v>45</v>
      </c>
      <c r="B49" s="2" t="s">
        <v>193</v>
      </c>
      <c r="C49" s="26"/>
      <c r="D49" s="9"/>
      <c r="E49" s="9"/>
      <c r="F49" s="9" t="s">
        <v>106</v>
      </c>
      <c r="G49" s="9"/>
      <c r="H49" s="9"/>
      <c r="I49" s="9" t="str">
        <f t="shared" si="3"/>
        <v>Источник средств, (выбрать из списка один или несколько)</v>
      </c>
      <c r="J49" s="9" t="s">
        <v>283</v>
      </c>
      <c r="K49" s="10" t="s">
        <v>71</v>
      </c>
      <c r="L49" s="10" t="s">
        <v>76</v>
      </c>
      <c r="M49" s="10" t="s">
        <v>77</v>
      </c>
      <c r="N49" s="10" t="s">
        <v>79</v>
      </c>
      <c r="O49" s="12" t="s">
        <v>81</v>
      </c>
      <c r="P49" s="36" t="s">
        <v>304</v>
      </c>
      <c r="Q49" s="12" t="s">
        <v>86</v>
      </c>
      <c r="R49" s="12" t="s">
        <v>84</v>
      </c>
      <c r="S49" s="15"/>
      <c r="T49" s="15"/>
    </row>
    <row r="50" spans="1:20">
      <c r="A50" s="56">
        <v>46</v>
      </c>
      <c r="B50" s="2" t="s">
        <v>194</v>
      </c>
      <c r="C50" s="26"/>
      <c r="D50" s="9"/>
      <c r="E50" s="9"/>
      <c r="F50" s="9" t="s">
        <v>142</v>
      </c>
      <c r="G50" s="9"/>
      <c r="H50" s="9"/>
      <c r="I50" s="9" t="str">
        <f t="shared" si="3"/>
        <v>Сумма по источнику средств, тенге</v>
      </c>
      <c r="J50" s="9" t="s">
        <v>142</v>
      </c>
      <c r="K50" s="10" t="s">
        <v>71</v>
      </c>
      <c r="L50" s="10" t="s">
        <v>74</v>
      </c>
      <c r="M50" s="10" t="s">
        <v>77</v>
      </c>
      <c r="N50" s="10" t="s">
        <v>79</v>
      </c>
      <c r="O50" s="12" t="s">
        <v>81</v>
      </c>
      <c r="P50" s="35"/>
      <c r="Q50" s="12" t="s">
        <v>86</v>
      </c>
      <c r="R50" s="12" t="s">
        <v>84</v>
      </c>
      <c r="S50" s="15"/>
      <c r="T50" s="15"/>
    </row>
    <row r="51" spans="1:20">
      <c r="A51" s="56">
        <v>47</v>
      </c>
      <c r="B51" s="2" t="s">
        <v>195</v>
      </c>
      <c r="C51" s="26"/>
      <c r="D51" s="9"/>
      <c r="E51" s="9"/>
      <c r="F51" s="9" t="s">
        <v>10</v>
      </c>
      <c r="G51" s="9"/>
      <c r="H51" s="9"/>
      <c r="I51" s="9" t="str">
        <f t="shared" si="3"/>
        <v>Способ привлечения фондирования, (выбрать из списка)</v>
      </c>
      <c r="J51" s="9" t="s">
        <v>92</v>
      </c>
      <c r="K51" s="10" t="s">
        <v>71</v>
      </c>
      <c r="L51" s="10" t="s">
        <v>75</v>
      </c>
      <c r="M51" s="10" t="s">
        <v>77</v>
      </c>
      <c r="N51" s="10" t="s">
        <v>79</v>
      </c>
      <c r="O51" s="12" t="s">
        <v>81</v>
      </c>
      <c r="P51" s="36" t="s">
        <v>305</v>
      </c>
      <c r="Q51" s="12" t="s">
        <v>86</v>
      </c>
      <c r="R51" s="12" t="s">
        <v>84</v>
      </c>
      <c r="S51" s="14"/>
      <c r="T51" s="14"/>
    </row>
    <row r="52" spans="1:20">
      <c r="A52" s="56">
        <v>48</v>
      </c>
      <c r="B52" s="2" t="s">
        <v>196</v>
      </c>
      <c r="C52" s="25"/>
      <c r="D52" s="4"/>
      <c r="E52" s="4"/>
      <c r="F52" s="4" t="s">
        <v>11</v>
      </c>
      <c r="G52" s="4"/>
      <c r="H52" s="4"/>
      <c r="I52" s="4" t="str">
        <f t="shared" si="3"/>
        <v>Заполняется только для средств из РБ</v>
      </c>
      <c r="J52" s="4" t="s">
        <v>11</v>
      </c>
      <c r="K52" s="5"/>
      <c r="L52" s="5"/>
      <c r="M52" s="5" t="s">
        <v>78</v>
      </c>
      <c r="N52" s="5" t="s">
        <v>79</v>
      </c>
      <c r="O52" s="6" t="s">
        <v>81</v>
      </c>
      <c r="P52" s="35"/>
      <c r="Q52" s="6"/>
      <c r="R52" s="6"/>
      <c r="S52" s="14"/>
      <c r="T52" s="14"/>
    </row>
    <row r="53" spans="1:20">
      <c r="A53" s="56">
        <v>49</v>
      </c>
      <c r="B53" s="2" t="s">
        <v>197</v>
      </c>
      <c r="C53" s="26"/>
      <c r="D53" s="9"/>
      <c r="E53" s="9"/>
      <c r="F53" s="9"/>
      <c r="G53" s="9" t="s">
        <v>107</v>
      </c>
      <c r="H53" s="9"/>
      <c r="I53" s="9" t="str">
        <f t="shared" si="3"/>
        <v xml:space="preserve">Наименование ФЭО </v>
      </c>
      <c r="J53" s="9" t="s">
        <v>107</v>
      </c>
      <c r="K53" s="10" t="s">
        <v>71</v>
      </c>
      <c r="L53" s="10" t="s">
        <v>74</v>
      </c>
      <c r="M53" s="10" t="s">
        <v>77</v>
      </c>
      <c r="N53" s="10" t="s">
        <v>79</v>
      </c>
      <c r="O53" s="12" t="s">
        <v>81</v>
      </c>
      <c r="P53" s="35"/>
      <c r="Q53" s="12" t="s">
        <v>86</v>
      </c>
      <c r="R53" s="12" t="s">
        <v>84</v>
      </c>
      <c r="S53" s="14"/>
      <c r="T53" s="14"/>
    </row>
    <row r="54" spans="1:20">
      <c r="A54" s="56">
        <v>50</v>
      </c>
      <c r="B54" s="2" t="s">
        <v>198</v>
      </c>
      <c r="C54" s="26"/>
      <c r="D54" s="9"/>
      <c r="E54" s="9"/>
      <c r="F54" s="9"/>
      <c r="G54" s="9" t="s">
        <v>108</v>
      </c>
      <c r="H54" s="9"/>
      <c r="I54" s="9" t="str">
        <f t="shared" si="3"/>
        <v>№ бюджетной программы</v>
      </c>
      <c r="J54" s="9" t="s">
        <v>108</v>
      </c>
      <c r="K54" s="10" t="s">
        <v>71</v>
      </c>
      <c r="L54" s="10" t="s">
        <v>75</v>
      </c>
      <c r="M54" s="10" t="s">
        <v>77</v>
      </c>
      <c r="N54" s="10" t="s">
        <v>79</v>
      </c>
      <c r="O54" s="12" t="s">
        <v>81</v>
      </c>
      <c r="P54" s="31"/>
      <c r="Q54" s="12" t="s">
        <v>86</v>
      </c>
      <c r="R54" s="10" t="s">
        <v>84</v>
      </c>
      <c r="S54" s="14"/>
      <c r="T54" s="14"/>
    </row>
    <row r="55" spans="1:20">
      <c r="A55" s="56">
        <v>51</v>
      </c>
      <c r="B55" s="2" t="s">
        <v>199</v>
      </c>
      <c r="C55" s="26"/>
      <c r="D55" s="9"/>
      <c r="E55" s="9"/>
      <c r="F55" s="9"/>
      <c r="G55" s="9" t="s">
        <v>109</v>
      </c>
      <c r="H55" s="9"/>
      <c r="I55" s="9" t="str">
        <f t="shared" si="3"/>
        <v xml:space="preserve">Дата Приказа ГО </v>
      </c>
      <c r="J55" s="9" t="s">
        <v>109</v>
      </c>
      <c r="K55" s="10" t="s">
        <v>15</v>
      </c>
      <c r="L55" s="10" t="s">
        <v>75</v>
      </c>
      <c r="M55" s="10" t="s">
        <v>77</v>
      </c>
      <c r="N55" s="10" t="s">
        <v>79</v>
      </c>
      <c r="O55" s="12" t="s">
        <v>81</v>
      </c>
      <c r="P55" s="31"/>
      <c r="Q55" s="12" t="s">
        <v>86</v>
      </c>
      <c r="R55" s="12" t="s">
        <v>84</v>
      </c>
      <c r="S55" s="14"/>
      <c r="T55" s="14"/>
    </row>
    <row r="56" spans="1:20">
      <c r="A56" s="56">
        <v>52</v>
      </c>
      <c r="B56" s="2" t="s">
        <v>200</v>
      </c>
      <c r="C56" s="26"/>
      <c r="D56" s="9"/>
      <c r="E56" s="9"/>
      <c r="F56" s="9"/>
      <c r="G56" s="9" t="s">
        <v>110</v>
      </c>
      <c r="H56" s="9"/>
      <c r="I56" s="9" t="str">
        <f t="shared" si="3"/>
        <v xml:space="preserve">№ Приказа ГО </v>
      </c>
      <c r="J56" s="9" t="s">
        <v>110</v>
      </c>
      <c r="K56" s="10" t="s">
        <v>71</v>
      </c>
      <c r="L56" s="10" t="s">
        <v>75</v>
      </c>
      <c r="M56" s="10" t="s">
        <v>77</v>
      </c>
      <c r="N56" s="10" t="s">
        <v>79</v>
      </c>
      <c r="O56" s="12" t="s">
        <v>81</v>
      </c>
      <c r="P56" s="31"/>
      <c r="Q56" s="12" t="s">
        <v>86</v>
      </c>
      <c r="R56" s="12" t="s">
        <v>84</v>
      </c>
      <c r="S56" s="14"/>
      <c r="T56" s="14"/>
    </row>
    <row r="57" spans="1:20">
      <c r="A57" s="56">
        <v>53</v>
      </c>
      <c r="B57" s="2" t="s">
        <v>201</v>
      </c>
      <c r="C57" s="26"/>
      <c r="D57" s="9"/>
      <c r="E57" s="9"/>
      <c r="F57" s="9"/>
      <c r="G57" s="9" t="s">
        <v>12</v>
      </c>
      <c r="H57" s="9"/>
      <c r="I57" s="9" t="str">
        <f t="shared" si="3"/>
        <v>Наименование ЦГО (список)</v>
      </c>
      <c r="J57" s="9" t="s">
        <v>12</v>
      </c>
      <c r="K57" s="10" t="s">
        <v>71</v>
      </c>
      <c r="L57" s="10" t="s">
        <v>76</v>
      </c>
      <c r="M57" s="10" t="s">
        <v>77</v>
      </c>
      <c r="N57" s="10" t="s">
        <v>79</v>
      </c>
      <c r="O57" s="12" t="s">
        <v>81</v>
      </c>
      <c r="P57" s="36" t="s">
        <v>320</v>
      </c>
      <c r="Q57" s="12" t="s">
        <v>86</v>
      </c>
      <c r="R57" s="10" t="s">
        <v>84</v>
      </c>
      <c r="S57" s="14"/>
      <c r="T57" s="14"/>
    </row>
    <row r="58" spans="1:20" ht="15.65" customHeight="1">
      <c r="A58" s="56">
        <v>54</v>
      </c>
      <c r="B58" s="2" t="s">
        <v>202</v>
      </c>
      <c r="C58" s="25"/>
      <c r="D58" s="4"/>
      <c r="E58" s="4"/>
      <c r="F58" s="4" t="s">
        <v>69</v>
      </c>
      <c r="G58" s="4"/>
      <c r="H58" s="4"/>
      <c r="I58" s="4" t="str">
        <f t="shared" si="3"/>
        <v>Участие в государственных программах развития (наименование документа, номер и дата/либо не участвует)</v>
      </c>
      <c r="J58" s="4" t="s">
        <v>69</v>
      </c>
      <c r="K58" s="5"/>
      <c r="L58" s="5"/>
      <c r="M58" s="5" t="s">
        <v>78</v>
      </c>
      <c r="N58" s="5" t="s">
        <v>79</v>
      </c>
      <c r="O58" s="6" t="s">
        <v>81</v>
      </c>
      <c r="P58" s="35"/>
      <c r="Q58" s="6"/>
      <c r="R58" s="6"/>
      <c r="S58" s="14"/>
      <c r="T58" s="14"/>
    </row>
    <row r="59" spans="1:20" ht="15.65" customHeight="1">
      <c r="A59" s="56">
        <v>55</v>
      </c>
      <c r="B59" s="2" t="s">
        <v>203</v>
      </c>
      <c r="C59" s="26"/>
      <c r="D59" s="9"/>
      <c r="E59" s="9"/>
      <c r="F59" s="9"/>
      <c r="G59" s="9" t="s">
        <v>338</v>
      </c>
      <c r="H59" s="9"/>
      <c r="I59" s="9" t="str">
        <f t="shared" si="3"/>
        <v>Статус участия в гос. программах:</v>
      </c>
      <c r="J59" s="9" t="s">
        <v>338</v>
      </c>
      <c r="K59" s="10" t="s">
        <v>71</v>
      </c>
      <c r="L59" s="10" t="s">
        <v>76</v>
      </c>
      <c r="M59" s="10" t="s">
        <v>77</v>
      </c>
      <c r="N59" s="10" t="s">
        <v>79</v>
      </c>
      <c r="O59" s="12" t="s">
        <v>81</v>
      </c>
      <c r="P59" s="36" t="s">
        <v>321</v>
      </c>
      <c r="Q59" s="12" t="s">
        <v>86</v>
      </c>
      <c r="R59" s="12" t="s">
        <v>84</v>
      </c>
      <c r="S59" s="14"/>
      <c r="T59" s="14"/>
    </row>
    <row r="60" spans="1:20" ht="15.65" customHeight="1">
      <c r="A60" s="56">
        <v>56</v>
      </c>
      <c r="B60" s="2" t="s">
        <v>204</v>
      </c>
      <c r="C60" s="26"/>
      <c r="D60" s="9"/>
      <c r="E60" s="9"/>
      <c r="F60" s="9"/>
      <c r="G60" s="9" t="s">
        <v>13</v>
      </c>
      <c r="H60" s="9"/>
      <c r="I60" s="9" t="str">
        <f t="shared" si="3"/>
        <v>Полное наименование программы</v>
      </c>
      <c r="J60" s="9" t="s">
        <v>13</v>
      </c>
      <c r="K60" s="10" t="s">
        <v>71</v>
      </c>
      <c r="L60" s="10" t="s">
        <v>74</v>
      </c>
      <c r="M60" s="10" t="s">
        <v>77</v>
      </c>
      <c r="N60" s="10" t="s">
        <v>79</v>
      </c>
      <c r="O60" s="12" t="s">
        <v>81</v>
      </c>
      <c r="P60" s="35"/>
      <c r="Q60" s="12" t="s">
        <v>86</v>
      </c>
      <c r="R60" s="12" t="s">
        <v>84</v>
      </c>
      <c r="S60" s="14"/>
      <c r="T60" s="14"/>
    </row>
    <row r="61" spans="1:20">
      <c r="A61" s="56">
        <v>57</v>
      </c>
      <c r="B61" s="2" t="s">
        <v>205</v>
      </c>
      <c r="C61" s="26"/>
      <c r="D61" s="9"/>
      <c r="E61" s="9"/>
      <c r="F61" s="9"/>
      <c r="G61" s="9" t="s">
        <v>14</v>
      </c>
      <c r="H61" s="9"/>
      <c r="I61" s="9" t="str">
        <f t="shared" si="3"/>
        <v>Наменование НПА, которым утвержден документ</v>
      </c>
      <c r="J61" s="9" t="s">
        <v>14</v>
      </c>
      <c r="K61" s="10" t="s">
        <v>71</v>
      </c>
      <c r="L61" s="10" t="s">
        <v>74</v>
      </c>
      <c r="M61" s="10" t="s">
        <v>77</v>
      </c>
      <c r="N61" s="10" t="s">
        <v>79</v>
      </c>
      <c r="O61" s="12" t="s">
        <v>81</v>
      </c>
      <c r="P61" s="35"/>
      <c r="Q61" s="12" t="s">
        <v>86</v>
      </c>
      <c r="R61" s="12" t="s">
        <v>84</v>
      </c>
      <c r="S61" s="14"/>
      <c r="T61" s="14"/>
    </row>
    <row r="62" spans="1:20">
      <c r="A62" s="56">
        <v>58</v>
      </c>
      <c r="B62" s="2" t="s">
        <v>206</v>
      </c>
      <c r="C62" s="26"/>
      <c r="D62" s="9"/>
      <c r="E62" s="9"/>
      <c r="F62" s="9"/>
      <c r="G62" s="9" t="s">
        <v>15</v>
      </c>
      <c r="H62" s="9"/>
      <c r="I62" s="9" t="str">
        <f t="shared" si="3"/>
        <v>Дата</v>
      </c>
      <c r="J62" s="9" t="s">
        <v>15</v>
      </c>
      <c r="K62" s="10" t="s">
        <v>15</v>
      </c>
      <c r="L62" s="10" t="s">
        <v>75</v>
      </c>
      <c r="M62" s="10" t="s">
        <v>77</v>
      </c>
      <c r="N62" s="10" t="s">
        <v>79</v>
      </c>
      <c r="O62" s="12" t="s">
        <v>81</v>
      </c>
      <c r="P62" s="31"/>
      <c r="Q62" s="12" t="s">
        <v>86</v>
      </c>
      <c r="R62" s="12" t="s">
        <v>84</v>
      </c>
      <c r="S62" s="15"/>
      <c r="T62" s="15"/>
    </row>
    <row r="63" spans="1:20">
      <c r="A63" s="56">
        <v>59</v>
      </c>
      <c r="B63" s="2" t="s">
        <v>207</v>
      </c>
      <c r="C63" s="26"/>
      <c r="D63" s="9"/>
      <c r="E63" s="9"/>
      <c r="F63" s="9"/>
      <c r="G63" s="9" t="s">
        <v>0</v>
      </c>
      <c r="H63" s="9"/>
      <c r="I63" s="9" t="str">
        <f t="shared" si="3"/>
        <v>№</v>
      </c>
      <c r="J63" s="9" t="s">
        <v>0</v>
      </c>
      <c r="K63" s="10" t="s">
        <v>71</v>
      </c>
      <c r="L63" s="10" t="s">
        <v>75</v>
      </c>
      <c r="M63" s="10" t="s">
        <v>77</v>
      </c>
      <c r="N63" s="10" t="s">
        <v>79</v>
      </c>
      <c r="O63" s="12" t="s">
        <v>81</v>
      </c>
      <c r="P63" s="31"/>
      <c r="Q63" s="12" t="s">
        <v>86</v>
      </c>
      <c r="R63" s="12" t="s">
        <v>84</v>
      </c>
      <c r="S63" s="15"/>
      <c r="T63" s="15"/>
    </row>
    <row r="64" spans="1:20" ht="28.2" customHeight="1">
      <c r="A64" s="56">
        <v>60</v>
      </c>
      <c r="B64" s="2" t="s">
        <v>208</v>
      </c>
      <c r="C64" s="26"/>
      <c r="D64" s="9"/>
      <c r="E64" s="9"/>
      <c r="F64" s="9" t="s">
        <v>348</v>
      </c>
      <c r="G64" s="9"/>
      <c r="H64" s="9"/>
      <c r="I64" s="9" t="str">
        <f t="shared" si="3"/>
        <v>Тип ставки привлечения</v>
      </c>
      <c r="J64" s="9" t="s">
        <v>66</v>
      </c>
      <c r="K64" s="10" t="s">
        <v>71</v>
      </c>
      <c r="L64" s="10" t="s">
        <v>76</v>
      </c>
      <c r="M64" s="10" t="s">
        <v>77</v>
      </c>
      <c r="N64" s="10" t="s">
        <v>79</v>
      </c>
      <c r="O64" s="12" t="s">
        <v>81</v>
      </c>
      <c r="P64" s="36" t="s">
        <v>306</v>
      </c>
      <c r="Q64" s="12" t="s">
        <v>86</v>
      </c>
      <c r="R64" s="10" t="s">
        <v>84</v>
      </c>
      <c r="S64" s="14"/>
      <c r="T64" s="14"/>
    </row>
    <row r="65" spans="1:20" ht="28.2" customHeight="1">
      <c r="A65" s="56">
        <v>61</v>
      </c>
      <c r="B65" s="2" t="s">
        <v>209</v>
      </c>
      <c r="C65" s="26"/>
      <c r="D65" s="9"/>
      <c r="E65" s="9"/>
      <c r="F65" s="9" t="s">
        <v>16</v>
      </c>
      <c r="G65" s="9"/>
      <c r="H65" s="9"/>
      <c r="I65" s="9" t="str">
        <f t="shared" si="3"/>
        <v>Ставка привлечения, % (при фиксированной)</v>
      </c>
      <c r="J65" s="9" t="s">
        <v>16</v>
      </c>
      <c r="K65" s="10" t="s">
        <v>72</v>
      </c>
      <c r="L65" s="10" t="s">
        <v>75</v>
      </c>
      <c r="M65" s="10" t="s">
        <v>77</v>
      </c>
      <c r="N65" s="10" t="s">
        <v>79</v>
      </c>
      <c r="O65" s="12" t="s">
        <v>81</v>
      </c>
      <c r="P65" s="31"/>
      <c r="Q65" s="12" t="s">
        <v>86</v>
      </c>
      <c r="R65" s="12" t="s">
        <v>84</v>
      </c>
      <c r="S65" s="14"/>
      <c r="T65" s="14"/>
    </row>
    <row r="66" spans="1:20">
      <c r="A66" s="56">
        <v>62</v>
      </c>
      <c r="B66" s="2" t="s">
        <v>210</v>
      </c>
      <c r="C66" s="25"/>
      <c r="D66" s="4"/>
      <c r="E66" s="4"/>
      <c r="F66" s="4" t="s">
        <v>17</v>
      </c>
      <c r="G66" s="4"/>
      <c r="H66" s="4"/>
      <c r="I66" s="4" t="str">
        <f t="shared" si="3"/>
        <v>Ставка привлечения, (при плавающей)</v>
      </c>
      <c r="J66" s="4" t="s">
        <v>17</v>
      </c>
      <c r="K66" s="5"/>
      <c r="L66" s="5"/>
      <c r="M66" s="5" t="s">
        <v>78</v>
      </c>
      <c r="N66" s="5" t="s">
        <v>79</v>
      </c>
      <c r="O66" s="6" t="s">
        <v>81</v>
      </c>
      <c r="P66" s="35"/>
      <c r="Q66" s="6"/>
      <c r="R66" s="6"/>
      <c r="S66" s="14"/>
      <c r="T66" s="14"/>
    </row>
    <row r="67" spans="1:20">
      <c r="A67" s="56">
        <v>63</v>
      </c>
      <c r="B67" s="2" t="s">
        <v>211</v>
      </c>
      <c r="C67" s="26"/>
      <c r="D67" s="9"/>
      <c r="E67" s="9"/>
      <c r="F67" s="9"/>
      <c r="G67" s="9" t="s">
        <v>18</v>
      </c>
      <c r="H67" s="9"/>
      <c r="I67" s="9" t="str">
        <f t="shared" si="3"/>
        <v>Индекс</v>
      </c>
      <c r="J67" s="9" t="s">
        <v>18</v>
      </c>
      <c r="K67" s="10" t="s">
        <v>71</v>
      </c>
      <c r="L67" s="10" t="s">
        <v>75</v>
      </c>
      <c r="M67" s="10" t="s">
        <v>77</v>
      </c>
      <c r="N67" s="10" t="s">
        <v>79</v>
      </c>
      <c r="O67" s="12" t="s">
        <v>81</v>
      </c>
      <c r="P67" s="35"/>
      <c r="Q67" s="12" t="s">
        <v>86</v>
      </c>
      <c r="R67" s="12" t="s">
        <v>84</v>
      </c>
      <c r="S67" s="14"/>
      <c r="T67" s="14"/>
    </row>
    <row r="68" spans="1:20">
      <c r="A68" s="56">
        <v>64</v>
      </c>
      <c r="B68" s="2" t="s">
        <v>212</v>
      </c>
      <c r="C68" s="26"/>
      <c r="D68" s="9"/>
      <c r="E68" s="9"/>
      <c r="F68" s="9"/>
      <c r="G68" s="9" t="s">
        <v>19</v>
      </c>
      <c r="H68" s="9"/>
      <c r="I68" s="9" t="str">
        <f t="shared" si="3"/>
        <v>Спред</v>
      </c>
      <c r="J68" s="9" t="s">
        <v>19</v>
      </c>
      <c r="K68" s="10" t="s">
        <v>71</v>
      </c>
      <c r="L68" s="10" t="s">
        <v>75</v>
      </c>
      <c r="M68" s="10" t="s">
        <v>77</v>
      </c>
      <c r="N68" s="10" t="s">
        <v>79</v>
      </c>
      <c r="O68" s="12" t="s">
        <v>81</v>
      </c>
      <c r="P68" s="31"/>
      <c r="Q68" s="12" t="s">
        <v>86</v>
      </c>
      <c r="R68" s="10" t="s">
        <v>84</v>
      </c>
      <c r="S68" s="14"/>
      <c r="T68" s="14"/>
    </row>
    <row r="69" spans="1:20">
      <c r="A69" s="56">
        <v>65</v>
      </c>
      <c r="B69" s="2" t="s">
        <v>213</v>
      </c>
      <c r="C69" s="25"/>
      <c r="D69" s="4"/>
      <c r="E69" s="4" t="s">
        <v>20</v>
      </c>
      <c r="F69" s="4"/>
      <c r="G69" s="4"/>
      <c r="H69" s="4"/>
      <c r="I69" s="4" t="str">
        <f t="shared" si="3"/>
        <v>Условия финансирования проекта</v>
      </c>
      <c r="J69" s="4" t="s">
        <v>20</v>
      </c>
      <c r="K69" s="5"/>
      <c r="L69" s="5"/>
      <c r="M69" s="5" t="s">
        <v>78</v>
      </c>
      <c r="N69" s="5" t="s">
        <v>80</v>
      </c>
      <c r="O69" s="6" t="s">
        <v>81</v>
      </c>
      <c r="P69" s="31"/>
      <c r="Q69" s="6"/>
      <c r="R69" s="6"/>
      <c r="S69" s="14"/>
      <c r="T69" s="14"/>
    </row>
    <row r="70" spans="1:20">
      <c r="A70" s="56">
        <v>66</v>
      </c>
      <c r="B70" s="2" t="s">
        <v>214</v>
      </c>
      <c r="C70" s="26"/>
      <c r="D70" s="9"/>
      <c r="E70" s="9"/>
      <c r="F70" s="9" t="s">
        <v>21</v>
      </c>
      <c r="G70" s="9"/>
      <c r="H70" s="9"/>
      <c r="I70" s="9" t="str">
        <f t="shared" si="3"/>
        <v>Наименование ДО/ДЗО АО "НИХ "Байтерек"</v>
      </c>
      <c r="J70" s="9" t="s">
        <v>21</v>
      </c>
      <c r="K70" s="10" t="s">
        <v>71</v>
      </c>
      <c r="L70" s="10" t="s">
        <v>76</v>
      </c>
      <c r="M70" s="10" t="s">
        <v>77</v>
      </c>
      <c r="N70" s="10" t="s">
        <v>79</v>
      </c>
      <c r="O70" s="12" t="s">
        <v>81</v>
      </c>
      <c r="P70" s="36" t="s">
        <v>307</v>
      </c>
      <c r="Q70" s="12" t="s">
        <v>86</v>
      </c>
      <c r="R70" s="12" t="s">
        <v>84</v>
      </c>
      <c r="S70" s="14"/>
      <c r="T70" s="14"/>
    </row>
    <row r="71" spans="1:20" ht="28.3">
      <c r="A71" s="56">
        <v>67</v>
      </c>
      <c r="B71" s="2" t="s">
        <v>215</v>
      </c>
      <c r="C71" s="26"/>
      <c r="D71" s="9"/>
      <c r="E71" s="9"/>
      <c r="F71" s="9" t="s">
        <v>143</v>
      </c>
      <c r="G71" s="9"/>
      <c r="H71" s="9"/>
      <c r="I71" s="9" t="str">
        <f t="shared" ref="I71:I102" si="4">_xlfn.TEXTJOIN(".",TRUE(),C71:H71)</f>
        <v>Наименование программы финансирования в ДО/ДЗО АО "НИХ "Байтерек"</v>
      </c>
      <c r="J71" s="9" t="s">
        <v>143</v>
      </c>
      <c r="K71" s="10" t="s">
        <v>71</v>
      </c>
      <c r="L71" s="10" t="s">
        <v>74</v>
      </c>
      <c r="M71" s="10" t="s">
        <v>77</v>
      </c>
      <c r="N71" s="10" t="s">
        <v>79</v>
      </c>
      <c r="O71" s="12" t="s">
        <v>81</v>
      </c>
      <c r="P71" s="31"/>
      <c r="Q71" s="12" t="s">
        <v>86</v>
      </c>
      <c r="R71" s="12" t="s">
        <v>84</v>
      </c>
      <c r="S71" s="15"/>
      <c r="T71" s="15"/>
    </row>
    <row r="72" spans="1:20">
      <c r="A72" s="56">
        <v>68</v>
      </c>
      <c r="B72" s="2" t="s">
        <v>216</v>
      </c>
      <c r="C72" s="26"/>
      <c r="D72" s="9"/>
      <c r="E72" s="9"/>
      <c r="F72" s="9" t="s">
        <v>144</v>
      </c>
      <c r="G72" s="9"/>
      <c r="H72" s="9"/>
      <c r="I72" s="9" t="str">
        <f t="shared" si="4"/>
        <v>Пополнение оборотных средств</v>
      </c>
      <c r="J72" s="9" t="s">
        <v>144</v>
      </c>
      <c r="K72" s="10" t="s">
        <v>71</v>
      </c>
      <c r="L72" s="10" t="s">
        <v>76</v>
      </c>
      <c r="M72" s="10" t="s">
        <v>77</v>
      </c>
      <c r="N72" s="10" t="s">
        <v>79</v>
      </c>
      <c r="O72" s="12" t="s">
        <v>81</v>
      </c>
      <c r="P72" s="36" t="s">
        <v>322</v>
      </c>
      <c r="Q72" s="12" t="s">
        <v>86</v>
      </c>
      <c r="R72" s="10" t="s">
        <v>84</v>
      </c>
      <c r="S72" s="14"/>
      <c r="T72" s="14"/>
    </row>
    <row r="73" spans="1:20" ht="28.3">
      <c r="A73" s="56">
        <v>69</v>
      </c>
      <c r="B73" s="2" t="s">
        <v>217</v>
      </c>
      <c r="C73" s="26"/>
      <c r="D73" s="9"/>
      <c r="E73" s="9"/>
      <c r="F73" s="9" t="s">
        <v>345</v>
      </c>
      <c r="G73" s="9"/>
      <c r="H73" s="9"/>
      <c r="I73" s="9" t="str">
        <f t="shared" si="4"/>
        <v>Наименование организации через которое ДО/ДЗО осуществляется финансирование (если применимо)</v>
      </c>
      <c r="J73" s="9" t="s">
        <v>111</v>
      </c>
      <c r="K73" s="10" t="s">
        <v>71</v>
      </c>
      <c r="L73" s="10" t="s">
        <v>74</v>
      </c>
      <c r="M73" s="10" t="s">
        <v>77</v>
      </c>
      <c r="N73" s="10" t="s">
        <v>79</v>
      </c>
      <c r="O73" s="12" t="s">
        <v>81</v>
      </c>
      <c r="P73" s="31"/>
      <c r="Q73" s="12" t="s">
        <v>86</v>
      </c>
      <c r="R73" s="12" t="s">
        <v>84</v>
      </c>
      <c r="S73" s="14"/>
      <c r="T73" s="14"/>
    </row>
    <row r="74" spans="1:20">
      <c r="A74" s="56">
        <v>70</v>
      </c>
      <c r="B74" s="2" t="s">
        <v>218</v>
      </c>
      <c r="C74" s="26"/>
      <c r="D74" s="9"/>
      <c r="E74" s="9"/>
      <c r="F74" s="9" t="s">
        <v>22</v>
      </c>
      <c r="G74" s="9"/>
      <c r="H74" s="9"/>
      <c r="I74" s="9" t="str">
        <f t="shared" si="4"/>
        <v xml:space="preserve">Вид организации (выбрать из списка если применимо) </v>
      </c>
      <c r="J74" s="9" t="s">
        <v>284</v>
      </c>
      <c r="K74" s="10" t="s">
        <v>71</v>
      </c>
      <c r="L74" s="10" t="s">
        <v>76</v>
      </c>
      <c r="M74" s="10" t="s">
        <v>77</v>
      </c>
      <c r="N74" s="10" t="s">
        <v>79</v>
      </c>
      <c r="O74" s="12" t="s">
        <v>81</v>
      </c>
      <c r="P74" s="36" t="s">
        <v>308</v>
      </c>
      <c r="Q74" s="12" t="s">
        <v>86</v>
      </c>
      <c r="R74" s="12" t="s">
        <v>84</v>
      </c>
      <c r="S74" s="14"/>
      <c r="T74" s="14"/>
    </row>
    <row r="75" spans="1:20" ht="28.2" customHeight="1">
      <c r="A75" s="56">
        <v>71</v>
      </c>
      <c r="B75" s="2" t="s">
        <v>219</v>
      </c>
      <c r="C75" s="26"/>
      <c r="D75" s="9"/>
      <c r="E75" s="9"/>
      <c r="F75" s="9" t="s">
        <v>23</v>
      </c>
      <c r="G75" s="9"/>
      <c r="H75" s="9"/>
      <c r="I75" s="9" t="str">
        <f t="shared" si="4"/>
        <v>Вид валюты (выбрать из списка)</v>
      </c>
      <c r="J75" s="9" t="s">
        <v>23</v>
      </c>
      <c r="K75" s="10" t="s">
        <v>71</v>
      </c>
      <c r="L75" s="10" t="s">
        <v>76</v>
      </c>
      <c r="M75" s="10" t="s">
        <v>77</v>
      </c>
      <c r="N75" s="10" t="s">
        <v>79</v>
      </c>
      <c r="O75" s="12" t="s">
        <v>81</v>
      </c>
      <c r="P75" s="36" t="s">
        <v>309</v>
      </c>
      <c r="Q75" s="12" t="s">
        <v>86</v>
      </c>
      <c r="R75" s="12" t="s">
        <v>84</v>
      </c>
      <c r="S75" s="15"/>
      <c r="T75" s="15"/>
    </row>
    <row r="76" spans="1:20">
      <c r="A76" s="56">
        <v>72</v>
      </c>
      <c r="B76" s="2" t="s">
        <v>220</v>
      </c>
      <c r="C76" s="26"/>
      <c r="D76" s="9"/>
      <c r="E76" s="9"/>
      <c r="F76" s="9" t="s">
        <v>112</v>
      </c>
      <c r="G76" s="9"/>
      <c r="H76" s="9"/>
      <c r="I76" s="9" t="str">
        <f t="shared" si="4"/>
        <v>Ставка вознаграждени для конечного заемщикая, %</v>
      </c>
      <c r="J76" s="9" t="s">
        <v>112</v>
      </c>
      <c r="K76" s="10" t="s">
        <v>72</v>
      </c>
      <c r="L76" s="10" t="s">
        <v>75</v>
      </c>
      <c r="M76" s="10" t="s">
        <v>77</v>
      </c>
      <c r="N76" s="10" t="s">
        <v>79</v>
      </c>
      <c r="O76" s="12" t="s">
        <v>81</v>
      </c>
      <c r="P76" s="31"/>
      <c r="Q76" s="12" t="s">
        <v>86</v>
      </c>
      <c r="R76" s="10" t="s">
        <v>84</v>
      </c>
      <c r="S76" s="14"/>
      <c r="T76" s="14"/>
    </row>
    <row r="77" spans="1:20">
      <c r="A77" s="56">
        <v>73</v>
      </c>
      <c r="B77" s="2" t="s">
        <v>221</v>
      </c>
      <c r="C77" s="26"/>
      <c r="D77" s="9"/>
      <c r="E77" s="9"/>
      <c r="F77" s="9" t="s">
        <v>61</v>
      </c>
      <c r="G77" s="9"/>
      <c r="H77" s="9"/>
      <c r="I77" s="9" t="str">
        <f t="shared" si="4"/>
        <v>Одобренная сумма, тенге</v>
      </c>
      <c r="J77" s="9" t="s">
        <v>61</v>
      </c>
      <c r="K77" s="10" t="s">
        <v>73</v>
      </c>
      <c r="L77" s="10" t="s">
        <v>75</v>
      </c>
      <c r="M77" s="10" t="s">
        <v>77</v>
      </c>
      <c r="N77" s="10" t="s">
        <v>79</v>
      </c>
      <c r="O77" s="12" t="s">
        <v>81</v>
      </c>
      <c r="P77" s="31"/>
      <c r="Q77" s="12" t="s">
        <v>86</v>
      </c>
      <c r="R77" s="12" t="s">
        <v>84</v>
      </c>
      <c r="S77" s="14"/>
      <c r="T77" s="14"/>
    </row>
    <row r="78" spans="1:20">
      <c r="A78" s="56">
        <v>74</v>
      </c>
      <c r="B78" s="2" t="s">
        <v>222</v>
      </c>
      <c r="C78" s="25" t="s">
        <v>25</v>
      </c>
      <c r="D78" s="4"/>
      <c r="E78" s="4"/>
      <c r="F78" s="4"/>
      <c r="G78" s="4"/>
      <c r="H78" s="4"/>
      <c r="I78" s="4" t="str">
        <f t="shared" si="4"/>
        <v>Кредитный процесс</v>
      </c>
      <c r="J78" s="4" t="s">
        <v>25</v>
      </c>
      <c r="K78" s="5"/>
      <c r="L78" s="5"/>
      <c r="M78" s="5" t="s">
        <v>78</v>
      </c>
      <c r="N78" s="5" t="s">
        <v>79</v>
      </c>
      <c r="O78" s="6" t="s">
        <v>81</v>
      </c>
      <c r="P78" s="31"/>
      <c r="Q78" s="6"/>
      <c r="R78" s="6"/>
      <c r="S78" s="14"/>
      <c r="T78" s="14"/>
    </row>
    <row r="79" spans="1:20">
      <c r="A79" s="56">
        <v>75</v>
      </c>
      <c r="B79" s="2" t="s">
        <v>224</v>
      </c>
      <c r="C79" s="26"/>
      <c r="D79" s="9" t="s">
        <v>113</v>
      </c>
      <c r="E79" s="9"/>
      <c r="F79" s="9"/>
      <c r="G79" s="9"/>
      <c r="H79" s="9"/>
      <c r="I79" s="9" t="str">
        <f t="shared" si="4"/>
        <v>Дата подачи заявки</v>
      </c>
      <c r="J79" s="9" t="s">
        <v>113</v>
      </c>
      <c r="K79" s="10" t="s">
        <v>15</v>
      </c>
      <c r="L79" s="10" t="s">
        <v>75</v>
      </c>
      <c r="M79" s="10" t="s">
        <v>77</v>
      </c>
      <c r="N79" s="10" t="s">
        <v>79</v>
      </c>
      <c r="O79" s="12" t="s">
        <v>81</v>
      </c>
      <c r="P79" s="31"/>
      <c r="Q79" s="12" t="s">
        <v>86</v>
      </c>
      <c r="R79" s="12" t="s">
        <v>84</v>
      </c>
      <c r="S79" s="14"/>
      <c r="T79" s="14"/>
    </row>
    <row r="80" spans="1:20" ht="28.2" customHeight="1">
      <c r="A80" s="56">
        <v>76</v>
      </c>
      <c r="B80" s="2" t="s">
        <v>225</v>
      </c>
      <c r="C80" s="26"/>
      <c r="D80" s="9" t="s">
        <v>349</v>
      </c>
      <c r="E80" s="9"/>
      <c r="F80" s="9"/>
      <c r="G80" s="9"/>
      <c r="H80" s="9"/>
      <c r="I80" s="9" t="str">
        <f t="shared" si="4"/>
        <v>Статус заявки/проекта</v>
      </c>
      <c r="J80" s="9" t="s">
        <v>26</v>
      </c>
      <c r="K80" s="10" t="s">
        <v>71</v>
      </c>
      <c r="L80" s="10" t="s">
        <v>76</v>
      </c>
      <c r="M80" s="10" t="s">
        <v>77</v>
      </c>
      <c r="N80" s="10" t="s">
        <v>79</v>
      </c>
      <c r="O80" s="12" t="s">
        <v>81</v>
      </c>
      <c r="P80" s="36" t="s">
        <v>310</v>
      </c>
      <c r="Q80" s="12" t="s">
        <v>86</v>
      </c>
      <c r="R80" s="10" t="s">
        <v>83</v>
      </c>
      <c r="S80" s="14"/>
      <c r="T80" s="14"/>
    </row>
    <row r="81" spans="1:20" ht="28.2" customHeight="1">
      <c r="A81" s="56">
        <v>77</v>
      </c>
      <c r="B81" s="2" t="s">
        <v>226</v>
      </c>
      <c r="C81" s="26"/>
      <c r="D81" s="9" t="s">
        <v>114</v>
      </c>
      <c r="E81" s="9"/>
      <c r="F81" s="9"/>
      <c r="G81" s="9"/>
      <c r="H81" s="9"/>
      <c r="I81" s="9" t="str">
        <f t="shared" si="4"/>
        <v>Дата одобрения/отклонения заявки</v>
      </c>
      <c r="J81" s="9" t="s">
        <v>114</v>
      </c>
      <c r="K81" s="10" t="s">
        <v>15</v>
      </c>
      <c r="L81" s="10" t="s">
        <v>75</v>
      </c>
      <c r="M81" s="10" t="s">
        <v>77</v>
      </c>
      <c r="N81" s="10" t="s">
        <v>79</v>
      </c>
      <c r="O81" s="12" t="s">
        <v>81</v>
      </c>
      <c r="P81" s="31"/>
      <c r="Q81" s="12" t="s">
        <v>86</v>
      </c>
      <c r="R81" s="12" t="s">
        <v>84</v>
      </c>
      <c r="S81" s="14"/>
      <c r="T81" s="14"/>
    </row>
    <row r="82" spans="1:20">
      <c r="A82" s="56">
        <v>78</v>
      </c>
      <c r="B82" s="2" t="s">
        <v>227</v>
      </c>
      <c r="C82" s="26"/>
      <c r="D82" s="9" t="s">
        <v>27</v>
      </c>
      <c r="E82" s="9"/>
      <c r="F82" s="9"/>
      <c r="G82" s="9"/>
      <c r="H82" s="9"/>
      <c r="I82" s="9" t="str">
        <f t="shared" si="4"/>
        <v>Номер решения УО об одобрении проекта</v>
      </c>
      <c r="J82" s="9" t="s">
        <v>27</v>
      </c>
      <c r="K82" s="10" t="s">
        <v>71</v>
      </c>
      <c r="L82" s="10" t="s">
        <v>74</v>
      </c>
      <c r="M82" s="10" t="s">
        <v>77</v>
      </c>
      <c r="N82" s="10" t="s">
        <v>79</v>
      </c>
      <c r="O82" s="12" t="s">
        <v>81</v>
      </c>
      <c r="P82" s="31"/>
      <c r="Q82" s="12" t="s">
        <v>86</v>
      </c>
      <c r="R82" s="12" t="s">
        <v>84</v>
      </c>
      <c r="S82" s="14"/>
      <c r="T82" s="14"/>
    </row>
    <row r="83" spans="1:20">
      <c r="A83" s="56">
        <v>79</v>
      </c>
      <c r="B83" s="2" t="s">
        <v>228</v>
      </c>
      <c r="C83" s="26"/>
      <c r="D83" s="9" t="s">
        <v>115</v>
      </c>
      <c r="E83" s="9"/>
      <c r="F83" s="9"/>
      <c r="G83" s="9"/>
      <c r="H83" s="9"/>
      <c r="I83" s="9" t="str">
        <f t="shared" si="4"/>
        <v>Дата решения УО об одобрении проекта</v>
      </c>
      <c r="J83" s="9" t="s">
        <v>115</v>
      </c>
      <c r="K83" s="10" t="s">
        <v>15</v>
      </c>
      <c r="L83" s="10" t="s">
        <v>75</v>
      </c>
      <c r="M83" s="10" t="s">
        <v>77</v>
      </c>
      <c r="N83" s="10" t="s">
        <v>79</v>
      </c>
      <c r="O83" s="12" t="s">
        <v>81</v>
      </c>
      <c r="P83" s="31"/>
      <c r="Q83" s="12" t="s">
        <v>86</v>
      </c>
      <c r="R83" s="12" t="s">
        <v>84</v>
      </c>
      <c r="S83" s="14"/>
      <c r="T83" s="14"/>
    </row>
    <row r="84" spans="1:20">
      <c r="A84" s="56">
        <v>80</v>
      </c>
      <c r="B84" s="2" t="s">
        <v>223</v>
      </c>
      <c r="C84" s="25"/>
      <c r="D84" s="4" t="s">
        <v>324</v>
      </c>
      <c r="E84" s="4"/>
      <c r="F84" s="4"/>
      <c r="G84" s="4"/>
      <c r="H84" s="4"/>
      <c r="I84" s="4" t="str">
        <f t="shared" si="4"/>
        <v>Договор</v>
      </c>
      <c r="J84" s="4" t="s">
        <v>324</v>
      </c>
      <c r="K84" s="5"/>
      <c r="L84" s="5"/>
      <c r="M84" s="5" t="s">
        <v>78</v>
      </c>
      <c r="N84" s="5" t="s">
        <v>80</v>
      </c>
      <c r="O84" s="6" t="s">
        <v>81</v>
      </c>
      <c r="P84" s="31"/>
      <c r="Q84" s="6"/>
      <c r="R84" s="6"/>
      <c r="S84" s="14"/>
      <c r="T84" s="14"/>
    </row>
    <row r="85" spans="1:20">
      <c r="A85" s="56">
        <v>81</v>
      </c>
      <c r="B85" s="2" t="s">
        <v>229</v>
      </c>
      <c r="C85" s="25"/>
      <c r="D85" s="4"/>
      <c r="E85" s="3" t="s">
        <v>325</v>
      </c>
      <c r="F85" s="4"/>
      <c r="G85" s="4"/>
      <c r="H85" s="4"/>
      <c r="I85" s="4" t="str">
        <f t="shared" si="4"/>
        <v>СОКЛ/договор/договор банковской гарантии</v>
      </c>
      <c r="J85" s="4" t="s">
        <v>325</v>
      </c>
      <c r="K85" s="5"/>
      <c r="L85" s="5"/>
      <c r="M85" s="5" t="s">
        <v>78</v>
      </c>
      <c r="N85" s="5" t="s">
        <v>79</v>
      </c>
      <c r="O85" s="6" t="s">
        <v>81</v>
      </c>
      <c r="P85" s="31"/>
      <c r="Q85" s="6"/>
      <c r="R85" s="6"/>
      <c r="S85" s="14"/>
      <c r="T85" s="14"/>
    </row>
    <row r="86" spans="1:20">
      <c r="A86" s="56">
        <v>82</v>
      </c>
      <c r="B86" s="2" t="s">
        <v>230</v>
      </c>
      <c r="C86" s="26"/>
      <c r="D86" s="9"/>
      <c r="E86" s="9"/>
      <c r="F86" s="9" t="s">
        <v>68</v>
      </c>
      <c r="G86" s="9"/>
      <c r="H86" s="9"/>
      <c r="I86" s="9" t="str">
        <f t="shared" si="4"/>
        <v>Номер СОКЛ/договора/догова банковской гарантии</v>
      </c>
      <c r="J86" s="9" t="s">
        <v>68</v>
      </c>
      <c r="K86" s="10" t="s">
        <v>71</v>
      </c>
      <c r="L86" s="10" t="s">
        <v>74</v>
      </c>
      <c r="M86" s="10" t="s">
        <v>77</v>
      </c>
      <c r="N86" s="10" t="s">
        <v>79</v>
      </c>
      <c r="O86" s="12" t="s">
        <v>81</v>
      </c>
      <c r="P86" s="31"/>
      <c r="Q86" s="12" t="s">
        <v>86</v>
      </c>
      <c r="R86" s="12" t="s">
        <v>84</v>
      </c>
      <c r="S86" s="15"/>
      <c r="T86" s="15"/>
    </row>
    <row r="87" spans="1:20">
      <c r="A87" s="56">
        <v>83</v>
      </c>
      <c r="B87" s="2" t="s">
        <v>231</v>
      </c>
      <c r="C87" s="26"/>
      <c r="D87" s="9"/>
      <c r="E87" s="9"/>
      <c r="F87" s="9" t="s">
        <v>116</v>
      </c>
      <c r="G87" s="9"/>
      <c r="H87" s="9"/>
      <c r="I87" s="9" t="str">
        <f t="shared" si="4"/>
        <v>Дата СОКЛ/договора/догова банковской гарантии</v>
      </c>
      <c r="J87" s="9" t="s">
        <v>116</v>
      </c>
      <c r="K87" s="10" t="s">
        <v>15</v>
      </c>
      <c r="L87" s="10" t="s">
        <v>75</v>
      </c>
      <c r="M87" s="10" t="s">
        <v>77</v>
      </c>
      <c r="N87" s="10" t="s">
        <v>79</v>
      </c>
      <c r="O87" s="12" t="s">
        <v>81</v>
      </c>
      <c r="P87" s="31"/>
      <c r="Q87" s="12" t="s">
        <v>86</v>
      </c>
      <c r="R87" s="12" t="s">
        <v>84</v>
      </c>
      <c r="S87" s="14"/>
      <c r="T87" s="14"/>
    </row>
    <row r="88" spans="1:20" ht="15.65" customHeight="1">
      <c r="A88" s="56">
        <v>84</v>
      </c>
      <c r="B88" s="2" t="s">
        <v>232</v>
      </c>
      <c r="C88" s="4"/>
      <c r="D88" s="27"/>
      <c r="E88" s="4" t="s">
        <v>32</v>
      </c>
      <c r="F88" s="27"/>
      <c r="G88" s="27"/>
      <c r="H88" s="27"/>
      <c r="I88" s="4" t="str">
        <f t="shared" si="4"/>
        <v>Качество порфтеля и риск показатели</v>
      </c>
      <c r="J88" s="4" t="s">
        <v>32</v>
      </c>
      <c r="K88" s="5"/>
      <c r="L88" s="5"/>
      <c r="M88" s="5" t="s">
        <v>78</v>
      </c>
      <c r="N88" s="5" t="s">
        <v>79</v>
      </c>
      <c r="O88" s="6" t="s">
        <v>81</v>
      </c>
      <c r="P88" s="31"/>
      <c r="Q88" s="6"/>
      <c r="R88" s="5"/>
      <c r="S88" s="14"/>
      <c r="T88" s="14"/>
    </row>
    <row r="89" spans="1:20">
      <c r="A89" s="56">
        <v>85</v>
      </c>
      <c r="B89" s="2" t="s">
        <v>233</v>
      </c>
      <c r="C89" s="3"/>
      <c r="D89" s="3"/>
      <c r="E89" s="3"/>
      <c r="F89" s="3" t="s">
        <v>293</v>
      </c>
      <c r="G89" s="4"/>
      <c r="H89" s="4"/>
      <c r="I89" s="4" t="str">
        <f t="shared" si="4"/>
        <v xml:space="preserve">Данные по остаткам </v>
      </c>
      <c r="J89" s="4" t="s">
        <v>293</v>
      </c>
      <c r="K89" s="5"/>
      <c r="L89" s="5"/>
      <c r="M89" s="6" t="s">
        <v>78</v>
      </c>
      <c r="N89" s="5" t="s">
        <v>79</v>
      </c>
      <c r="O89" s="6" t="s">
        <v>81</v>
      </c>
      <c r="P89" s="31"/>
      <c r="Q89" s="32"/>
      <c r="R89" s="6"/>
      <c r="S89" s="6"/>
      <c r="T89" s="6"/>
    </row>
    <row r="90" spans="1:20">
      <c r="A90" s="56">
        <v>86</v>
      </c>
      <c r="B90" s="2" t="s">
        <v>234</v>
      </c>
      <c r="C90" s="11"/>
      <c r="D90" s="11"/>
      <c r="E90" s="11"/>
      <c r="F90" s="11"/>
      <c r="G90" s="11" t="s">
        <v>294</v>
      </c>
      <c r="H90" s="11"/>
      <c r="I90" s="9" t="str">
        <f t="shared" si="4"/>
        <v>Дата ввода информации по задолженности</v>
      </c>
      <c r="J90" s="9" t="s">
        <v>294</v>
      </c>
      <c r="K90" s="10" t="s">
        <v>15</v>
      </c>
      <c r="L90" s="10" t="s">
        <v>75</v>
      </c>
      <c r="M90" s="10" t="s">
        <v>77</v>
      </c>
      <c r="N90" s="10" t="s">
        <v>79</v>
      </c>
      <c r="O90" s="33" t="s">
        <v>81</v>
      </c>
      <c r="P90" s="31"/>
      <c r="Q90" s="12" t="s">
        <v>86</v>
      </c>
      <c r="R90" s="12" t="s">
        <v>84</v>
      </c>
      <c r="S90" s="12"/>
      <c r="T90" s="12"/>
    </row>
    <row r="91" spans="1:20" ht="15.65" customHeight="1">
      <c r="A91" s="56">
        <v>87</v>
      </c>
      <c r="B91" s="2" t="s">
        <v>235</v>
      </c>
      <c r="C91" s="4"/>
      <c r="D91" s="27"/>
      <c r="E91" s="4"/>
      <c r="F91" s="27"/>
      <c r="G91" s="27" t="s">
        <v>118</v>
      </c>
      <c r="H91" s="27"/>
      <c r="I91" s="4" t="str">
        <f t="shared" si="4"/>
        <v>Остаток задолженности предприятия - получателя финансовой поддержки перед ДО</v>
      </c>
      <c r="J91" s="4" t="s">
        <v>118</v>
      </c>
      <c r="K91" s="5"/>
      <c r="L91" s="5"/>
      <c r="M91" s="5" t="s">
        <v>78</v>
      </c>
      <c r="N91" s="5" t="s">
        <v>79</v>
      </c>
      <c r="O91" s="6" t="s">
        <v>81</v>
      </c>
      <c r="P91" s="31"/>
      <c r="Q91" s="6"/>
      <c r="R91" s="5"/>
      <c r="S91" s="14"/>
      <c r="T91" s="14"/>
    </row>
    <row r="92" spans="1:20" ht="15.65" customHeight="1">
      <c r="A92" s="56">
        <v>88</v>
      </c>
      <c r="B92" s="2" t="s">
        <v>236</v>
      </c>
      <c r="C92" s="9"/>
      <c r="D92" s="28"/>
      <c r="E92" s="9"/>
      <c r="F92" s="28"/>
      <c r="G92" s="28"/>
      <c r="H92" s="28" t="s">
        <v>63</v>
      </c>
      <c r="I92" s="9" t="str">
        <f t="shared" si="4"/>
        <v>по основному долгу, тенге</v>
      </c>
      <c r="J92" s="9" t="s">
        <v>63</v>
      </c>
      <c r="K92" s="10" t="s">
        <v>73</v>
      </c>
      <c r="L92" s="10" t="s">
        <v>75</v>
      </c>
      <c r="M92" s="10" t="s">
        <v>77</v>
      </c>
      <c r="N92" s="10" t="s">
        <v>79</v>
      </c>
      <c r="O92" s="12" t="s">
        <v>81</v>
      </c>
      <c r="P92" s="31"/>
      <c r="Q92" s="12" t="s">
        <v>86</v>
      </c>
      <c r="R92" s="10" t="s">
        <v>84</v>
      </c>
      <c r="S92" s="14"/>
      <c r="T92" s="14"/>
    </row>
    <row r="93" spans="1:20">
      <c r="A93" s="56">
        <v>89</v>
      </c>
      <c r="B93" s="2" t="s">
        <v>237</v>
      </c>
      <c r="C93" s="9"/>
      <c r="D93" s="28"/>
      <c r="E93" s="9"/>
      <c r="F93" s="28"/>
      <c r="G93" s="28"/>
      <c r="H93" s="28" t="s">
        <v>64</v>
      </c>
      <c r="I93" s="9" t="str">
        <f t="shared" si="4"/>
        <v>по вознаграждению, тенге</v>
      </c>
      <c r="J93" s="9" t="s">
        <v>64</v>
      </c>
      <c r="K93" s="10" t="s">
        <v>73</v>
      </c>
      <c r="L93" s="10" t="s">
        <v>75</v>
      </c>
      <c r="M93" s="10" t="s">
        <v>77</v>
      </c>
      <c r="N93" s="10" t="s">
        <v>79</v>
      </c>
      <c r="O93" s="12" t="s">
        <v>81</v>
      </c>
      <c r="P93" s="31"/>
      <c r="Q93" s="12" t="s">
        <v>86</v>
      </c>
      <c r="R93" s="12" t="s">
        <v>84</v>
      </c>
      <c r="S93" s="14"/>
      <c r="T93" s="14"/>
    </row>
    <row r="94" spans="1:20">
      <c r="A94" s="56">
        <v>90</v>
      </c>
      <c r="B94" s="2" t="s">
        <v>238</v>
      </c>
      <c r="C94" s="4"/>
      <c r="D94" s="29"/>
      <c r="E94" s="4"/>
      <c r="F94" s="29"/>
      <c r="G94" s="29" t="s">
        <v>33</v>
      </c>
      <c r="H94" s="27"/>
      <c r="I94" s="4" t="str">
        <f t="shared" si="4"/>
        <v>в т.ч. просроченная задолженность</v>
      </c>
      <c r="J94" s="4" t="s">
        <v>33</v>
      </c>
      <c r="K94" s="5"/>
      <c r="L94" s="5"/>
      <c r="M94" s="5" t="s">
        <v>78</v>
      </c>
      <c r="N94" s="5" t="s">
        <v>79</v>
      </c>
      <c r="O94" s="6" t="s">
        <v>81</v>
      </c>
      <c r="P94" s="31"/>
      <c r="Q94" s="6"/>
      <c r="R94" s="6"/>
      <c r="S94" s="15"/>
      <c r="T94" s="15"/>
    </row>
    <row r="95" spans="1:20">
      <c r="A95" s="56">
        <v>91</v>
      </c>
      <c r="B95" s="2" t="s">
        <v>239</v>
      </c>
      <c r="C95" s="9"/>
      <c r="D95" s="30"/>
      <c r="E95" s="9"/>
      <c r="F95" s="30"/>
      <c r="G95" s="30"/>
      <c r="H95" s="28" t="s">
        <v>63</v>
      </c>
      <c r="I95" s="9" t="str">
        <f t="shared" si="4"/>
        <v>по основному долгу, тенге</v>
      </c>
      <c r="J95" s="9" t="s">
        <v>63</v>
      </c>
      <c r="K95" s="10" t="s">
        <v>73</v>
      </c>
      <c r="L95" s="10" t="s">
        <v>75</v>
      </c>
      <c r="M95" s="10" t="s">
        <v>77</v>
      </c>
      <c r="N95" s="10" t="s">
        <v>79</v>
      </c>
      <c r="O95" s="12" t="s">
        <v>81</v>
      </c>
      <c r="P95" s="31"/>
      <c r="Q95" s="12" t="s">
        <v>86</v>
      </c>
      <c r="R95" s="12" t="s">
        <v>84</v>
      </c>
      <c r="S95" s="15"/>
      <c r="T95" s="15"/>
    </row>
    <row r="96" spans="1:20">
      <c r="A96" s="56">
        <v>92</v>
      </c>
      <c r="B96" s="2" t="s">
        <v>240</v>
      </c>
      <c r="C96" s="9"/>
      <c r="D96" s="30"/>
      <c r="E96" s="9"/>
      <c r="F96" s="30"/>
      <c r="G96" s="30"/>
      <c r="H96" s="28" t="s">
        <v>119</v>
      </c>
      <c r="I96" s="9" t="str">
        <f t="shared" si="4"/>
        <v xml:space="preserve">по вознаграждению, тенге </v>
      </c>
      <c r="J96" s="9" t="s">
        <v>119</v>
      </c>
      <c r="K96" s="10" t="s">
        <v>73</v>
      </c>
      <c r="L96" s="10" t="s">
        <v>75</v>
      </c>
      <c r="M96" s="10" t="s">
        <v>77</v>
      </c>
      <c r="N96" s="10" t="s">
        <v>79</v>
      </c>
      <c r="O96" s="12" t="s">
        <v>81</v>
      </c>
      <c r="P96" s="31"/>
      <c r="Q96" s="12" t="s">
        <v>86</v>
      </c>
      <c r="R96" s="12" t="s">
        <v>84</v>
      </c>
      <c r="S96" s="14"/>
      <c r="T96" s="14"/>
    </row>
    <row r="97" spans="1:20" ht="42.45">
      <c r="A97" s="56">
        <v>93</v>
      </c>
      <c r="B97" s="2" t="s">
        <v>241</v>
      </c>
      <c r="C97" s="9"/>
      <c r="D97" s="30"/>
      <c r="E97" s="9"/>
      <c r="F97" s="30"/>
      <c r="G97" s="30" t="s">
        <v>34</v>
      </c>
      <c r="H97" s="30"/>
      <c r="I97" s="9" t="str">
        <f t="shared" si="4"/>
        <v>Дисконт (-), премия (+), отрицательная (-), положительная (+) корректировка стоимости займа</v>
      </c>
      <c r="J97" s="9" t="s">
        <v>34</v>
      </c>
      <c r="K97" s="10" t="s">
        <v>71</v>
      </c>
      <c r="L97" s="10" t="s">
        <v>74</v>
      </c>
      <c r="M97" s="10" t="s">
        <v>77</v>
      </c>
      <c r="N97" s="10" t="s">
        <v>79</v>
      </c>
      <c r="O97" s="12" t="s">
        <v>81</v>
      </c>
      <c r="P97" s="31"/>
      <c r="Q97" s="12" t="s">
        <v>86</v>
      </c>
      <c r="R97" s="12" t="s">
        <v>84</v>
      </c>
      <c r="S97" s="15"/>
      <c r="T97" s="15"/>
    </row>
    <row r="98" spans="1:20">
      <c r="A98" s="56">
        <v>94</v>
      </c>
      <c r="B98" s="2" t="s">
        <v>242</v>
      </c>
      <c r="C98" s="9"/>
      <c r="D98" s="30"/>
      <c r="E98" s="9"/>
      <c r="F98" s="30"/>
      <c r="G98" s="30" t="s">
        <v>35</v>
      </c>
      <c r="H98" s="30"/>
      <c r="I98" s="9" t="str">
        <f t="shared" si="4"/>
        <v>Пеня, штрафы, тенге</v>
      </c>
      <c r="J98" s="9" t="s">
        <v>35</v>
      </c>
      <c r="K98" s="10" t="s">
        <v>73</v>
      </c>
      <c r="L98" s="10" t="s">
        <v>75</v>
      </c>
      <c r="M98" s="10" t="s">
        <v>77</v>
      </c>
      <c r="N98" s="10" t="s">
        <v>79</v>
      </c>
      <c r="O98" s="12" t="s">
        <v>81</v>
      </c>
      <c r="P98" s="31"/>
      <c r="Q98" s="12" t="s">
        <v>86</v>
      </c>
      <c r="R98" s="12" t="s">
        <v>84</v>
      </c>
      <c r="S98" s="14"/>
      <c r="T98" s="14"/>
    </row>
    <row r="99" spans="1:20">
      <c r="A99" s="56">
        <v>95</v>
      </c>
      <c r="B99" s="2" t="s">
        <v>243</v>
      </c>
      <c r="C99" s="9"/>
      <c r="D99" s="28"/>
      <c r="E99" s="9"/>
      <c r="F99" s="28"/>
      <c r="G99" s="28" t="s">
        <v>36</v>
      </c>
      <c r="H99" s="28"/>
      <c r="I99" s="9" t="str">
        <f t="shared" si="4"/>
        <v>Количество дней просрочки</v>
      </c>
      <c r="J99" s="9" t="s">
        <v>36</v>
      </c>
      <c r="K99" s="10" t="s">
        <v>72</v>
      </c>
      <c r="L99" s="10" t="s">
        <v>75</v>
      </c>
      <c r="M99" s="10" t="s">
        <v>77</v>
      </c>
      <c r="N99" s="10" t="s">
        <v>79</v>
      </c>
      <c r="O99" s="12" t="s">
        <v>81</v>
      </c>
      <c r="P99" s="35"/>
      <c r="Q99" s="12" t="s">
        <v>86</v>
      </c>
      <c r="R99" s="12" t="s">
        <v>84</v>
      </c>
      <c r="S99" s="14"/>
      <c r="T99" s="14"/>
    </row>
    <row r="100" spans="1:20">
      <c r="A100" s="56">
        <v>96</v>
      </c>
      <c r="B100" s="2" t="s">
        <v>244</v>
      </c>
      <c r="C100" s="9"/>
      <c r="D100" s="28"/>
      <c r="E100" s="9"/>
      <c r="F100" s="28"/>
      <c r="G100" s="28" t="s">
        <v>37</v>
      </c>
      <c r="H100" s="28"/>
      <c r="I100" s="9" t="str">
        <f t="shared" si="4"/>
        <v>Стадия (МСФО 9)</v>
      </c>
      <c r="J100" s="9" t="s">
        <v>37</v>
      </c>
      <c r="K100" s="10" t="s">
        <v>71</v>
      </c>
      <c r="L100" s="10" t="s">
        <v>74</v>
      </c>
      <c r="M100" s="10" t="s">
        <v>77</v>
      </c>
      <c r="N100" s="10" t="s">
        <v>79</v>
      </c>
      <c r="O100" s="12" t="s">
        <v>81</v>
      </c>
      <c r="P100" s="31"/>
      <c r="Q100" s="12" t="s">
        <v>86</v>
      </c>
      <c r="R100" s="12" t="s">
        <v>84</v>
      </c>
      <c r="S100" s="15"/>
      <c r="T100" s="15"/>
    </row>
    <row r="101" spans="1:20">
      <c r="A101" s="56">
        <v>97</v>
      </c>
      <c r="B101" s="2" t="s">
        <v>245</v>
      </c>
      <c r="C101" s="9"/>
      <c r="D101" s="28"/>
      <c r="E101" s="9"/>
      <c r="F101" s="28"/>
      <c r="G101" s="28" t="s">
        <v>38</v>
      </c>
      <c r="H101" s="28"/>
      <c r="I101" s="9" t="str">
        <f t="shared" si="4"/>
        <v>Провизии, %</v>
      </c>
      <c r="J101" s="9" t="s">
        <v>38</v>
      </c>
      <c r="K101" s="10" t="s">
        <v>72</v>
      </c>
      <c r="L101" s="10" t="s">
        <v>75</v>
      </c>
      <c r="M101" s="10" t="s">
        <v>77</v>
      </c>
      <c r="N101" s="10" t="s">
        <v>79</v>
      </c>
      <c r="O101" s="12" t="s">
        <v>81</v>
      </c>
      <c r="P101" s="31"/>
      <c r="Q101" s="12" t="s">
        <v>86</v>
      </c>
      <c r="R101" s="12" t="s">
        <v>84</v>
      </c>
      <c r="S101" s="14"/>
      <c r="T101" s="14"/>
    </row>
    <row r="102" spans="1:20" ht="28.2" customHeight="1">
      <c r="A102" s="56">
        <v>98</v>
      </c>
      <c r="B102" s="2" t="s">
        <v>246</v>
      </c>
      <c r="C102" s="9"/>
      <c r="D102" s="28"/>
      <c r="E102" s="9"/>
      <c r="F102" s="28"/>
      <c r="G102" s="28" t="s">
        <v>350</v>
      </c>
      <c r="H102" s="28"/>
      <c r="I102" s="9" t="str">
        <f t="shared" si="4"/>
        <v>Категория учета</v>
      </c>
      <c r="J102" s="9" t="s">
        <v>120</v>
      </c>
      <c r="K102" s="10" t="s">
        <v>71</v>
      </c>
      <c r="L102" s="10" t="s">
        <v>76</v>
      </c>
      <c r="M102" s="10" t="s">
        <v>77</v>
      </c>
      <c r="N102" s="10" t="s">
        <v>79</v>
      </c>
      <c r="O102" s="12" t="s">
        <v>81</v>
      </c>
      <c r="P102" s="36" t="s">
        <v>311</v>
      </c>
      <c r="Q102" s="12" t="s">
        <v>86</v>
      </c>
      <c r="R102" s="10" t="s">
        <v>84</v>
      </c>
      <c r="S102" s="14"/>
      <c r="T102" s="14"/>
    </row>
    <row r="103" spans="1:20" ht="28.2" customHeight="1">
      <c r="A103" s="56">
        <v>99</v>
      </c>
      <c r="B103" s="2" t="s">
        <v>247</v>
      </c>
      <c r="C103" s="9"/>
      <c r="D103" s="28"/>
      <c r="E103" s="9"/>
      <c r="F103" s="28"/>
      <c r="G103" s="28" t="s">
        <v>39</v>
      </c>
      <c r="H103" s="28"/>
      <c r="I103" s="9" t="str">
        <f t="shared" ref="I103:I134" si="5">_xlfn.TEXTJOIN(".",TRUE(),C103:H103)</f>
        <v>Провизии, тенге</v>
      </c>
      <c r="J103" s="9" t="s">
        <v>39</v>
      </c>
      <c r="K103" s="10" t="s">
        <v>73</v>
      </c>
      <c r="L103" s="10" t="s">
        <v>75</v>
      </c>
      <c r="M103" s="10" t="s">
        <v>77</v>
      </c>
      <c r="N103" s="10" t="s">
        <v>79</v>
      </c>
      <c r="O103" s="12" t="s">
        <v>81</v>
      </c>
      <c r="P103" s="31"/>
      <c r="Q103" s="12" t="s">
        <v>86</v>
      </c>
      <c r="R103" s="12" t="s">
        <v>84</v>
      </c>
      <c r="S103" s="14"/>
      <c r="T103" s="14"/>
    </row>
    <row r="104" spans="1:20" ht="28.2" customHeight="1">
      <c r="A104" s="56">
        <v>100</v>
      </c>
      <c r="B104" s="2" t="s">
        <v>248</v>
      </c>
      <c r="C104" s="4"/>
      <c r="D104" s="27"/>
      <c r="E104" s="4"/>
      <c r="F104" s="27" t="s">
        <v>315</v>
      </c>
      <c r="G104" s="27"/>
      <c r="H104" s="27"/>
      <c r="I104" s="4" t="str">
        <f t="shared" si="5"/>
        <v>Реструктуризация</v>
      </c>
      <c r="J104" s="4" t="s">
        <v>315</v>
      </c>
      <c r="K104" s="5"/>
      <c r="L104" s="5"/>
      <c r="M104" s="5" t="s">
        <v>78</v>
      </c>
      <c r="N104" s="5" t="s">
        <v>80</v>
      </c>
      <c r="O104" s="6" t="s">
        <v>81</v>
      </c>
      <c r="P104" s="31"/>
      <c r="Q104" s="6"/>
      <c r="R104" s="6"/>
      <c r="S104" s="14"/>
      <c r="T104" s="14"/>
    </row>
    <row r="105" spans="1:20">
      <c r="A105" s="56">
        <v>101</v>
      </c>
      <c r="B105" s="2" t="s">
        <v>249</v>
      </c>
      <c r="C105" s="9"/>
      <c r="D105" s="28"/>
      <c r="E105" s="9"/>
      <c r="F105" s="28"/>
      <c r="G105" s="28" t="s">
        <v>121</v>
      </c>
      <c r="H105" s="28"/>
      <c r="I105" s="9" t="str">
        <f t="shared" si="5"/>
        <v>Дата реструктуризации</v>
      </c>
      <c r="J105" s="9" t="s">
        <v>121</v>
      </c>
      <c r="K105" s="10" t="s">
        <v>15</v>
      </c>
      <c r="L105" s="10" t="s">
        <v>75</v>
      </c>
      <c r="M105" s="10" t="s">
        <v>77</v>
      </c>
      <c r="N105" s="10" t="s">
        <v>79</v>
      </c>
      <c r="O105" s="12" t="s">
        <v>81</v>
      </c>
      <c r="P105" s="31"/>
      <c r="Q105" s="12" t="s">
        <v>86</v>
      </c>
      <c r="R105" s="12" t="s">
        <v>84</v>
      </c>
      <c r="S105" s="15"/>
      <c r="T105" s="15"/>
    </row>
    <row r="106" spans="1:20">
      <c r="A106" s="56">
        <v>102</v>
      </c>
      <c r="B106" s="2" t="s">
        <v>250</v>
      </c>
      <c r="C106" s="9"/>
      <c r="D106" s="28"/>
      <c r="E106" s="9"/>
      <c r="F106" s="28"/>
      <c r="G106" s="28" t="s">
        <v>40</v>
      </c>
      <c r="H106" s="28"/>
      <c r="I106" s="9" t="str">
        <f t="shared" si="5"/>
        <v>Основные условия по реструктуризации</v>
      </c>
      <c r="J106" s="9" t="s">
        <v>40</v>
      </c>
      <c r="K106" s="10" t="s">
        <v>71</v>
      </c>
      <c r="L106" s="10" t="s">
        <v>74</v>
      </c>
      <c r="M106" s="10" t="s">
        <v>77</v>
      </c>
      <c r="N106" s="10" t="s">
        <v>79</v>
      </c>
      <c r="O106" s="12" t="s">
        <v>81</v>
      </c>
      <c r="P106" s="35"/>
      <c r="Q106" s="12" t="s">
        <v>86</v>
      </c>
      <c r="R106" s="12" t="s">
        <v>84</v>
      </c>
      <c r="S106" s="14"/>
      <c r="T106" s="14"/>
    </row>
    <row r="107" spans="1:20" ht="56.6">
      <c r="A107" s="56">
        <v>103</v>
      </c>
      <c r="B107" s="2" t="s">
        <v>251</v>
      </c>
      <c r="C107" s="9"/>
      <c r="D107" s="30"/>
      <c r="E107" s="9"/>
      <c r="F107" s="30"/>
      <c r="G107" s="30" t="s">
        <v>67</v>
      </c>
      <c r="H107" s="30"/>
      <c r="I107" s="9" t="str">
        <f t="shared" si="5"/>
        <v>Краткое описание решений Уполномоченного органа ДО/ДЗО/поручения Правительства или ГО относительно проблемных вопросов (при наличии)</v>
      </c>
      <c r="J107" s="9" t="s">
        <v>67</v>
      </c>
      <c r="K107" s="10" t="s">
        <v>71</v>
      </c>
      <c r="L107" s="10" t="s">
        <v>74</v>
      </c>
      <c r="M107" s="10" t="s">
        <v>77</v>
      </c>
      <c r="N107" s="10" t="s">
        <v>79</v>
      </c>
      <c r="O107" s="12" t="s">
        <v>81</v>
      </c>
      <c r="P107" s="31"/>
      <c r="Q107" s="12" t="s">
        <v>86</v>
      </c>
      <c r="R107" s="10" t="s">
        <v>84</v>
      </c>
      <c r="S107" s="14"/>
      <c r="T107" s="14"/>
    </row>
    <row r="108" spans="1:20" ht="56.6">
      <c r="A108" s="56">
        <v>104</v>
      </c>
      <c r="B108" s="2" t="s">
        <v>252</v>
      </c>
      <c r="C108" s="9"/>
      <c r="D108" s="30"/>
      <c r="E108" s="9"/>
      <c r="F108" s="30"/>
      <c r="G108" s="30" t="s">
        <v>70</v>
      </c>
      <c r="H108" s="30"/>
      <c r="I108" s="9" t="str">
        <f t="shared" si="5"/>
        <v>Дальнейший План мероприятий/предложения/видение ДО/ДЗО по оздоровлению проекта (прикрепить соответствующий документ)</v>
      </c>
      <c r="J108" s="9" t="s">
        <v>70</v>
      </c>
      <c r="K108" s="10" t="s">
        <v>71</v>
      </c>
      <c r="L108" s="10" t="s">
        <v>74</v>
      </c>
      <c r="M108" s="10" t="s">
        <v>77</v>
      </c>
      <c r="N108" s="10" t="s">
        <v>79</v>
      </c>
      <c r="O108" s="12" t="s">
        <v>81</v>
      </c>
      <c r="P108" s="31"/>
      <c r="Q108" s="12" t="s">
        <v>86</v>
      </c>
      <c r="R108" s="10" t="s">
        <v>84</v>
      </c>
      <c r="S108" s="14"/>
      <c r="T108" s="14"/>
    </row>
    <row r="109" spans="1:20" ht="42.45">
      <c r="A109" s="56">
        <v>105</v>
      </c>
      <c r="B109" s="2" t="s">
        <v>342</v>
      </c>
      <c r="C109" s="9"/>
      <c r="D109" s="30"/>
      <c r="E109" s="9"/>
      <c r="F109" s="30"/>
      <c r="G109" s="30" t="s">
        <v>344</v>
      </c>
      <c r="H109" s="30"/>
      <c r="I109" s="9" t="str">
        <f t="shared" si="5"/>
        <v>Документ дальнейшего Плана мероприятий/предложения/видение ДО/ДЗО по оздоровлению проекта</v>
      </c>
      <c r="J109" s="30" t="s">
        <v>344</v>
      </c>
      <c r="K109" s="10" t="s">
        <v>340</v>
      </c>
      <c r="L109" s="10" t="s">
        <v>74</v>
      </c>
      <c r="M109" s="10" t="s">
        <v>77</v>
      </c>
      <c r="N109" s="10" t="s">
        <v>79</v>
      </c>
      <c r="O109" s="12" t="s">
        <v>81</v>
      </c>
      <c r="P109" s="31"/>
      <c r="Q109" s="12" t="s">
        <v>86</v>
      </c>
      <c r="R109" s="10" t="s">
        <v>84</v>
      </c>
      <c r="S109" s="14"/>
      <c r="T109" s="14"/>
    </row>
    <row r="110" spans="1:20" ht="15.65" customHeight="1">
      <c r="A110" s="56">
        <v>106</v>
      </c>
      <c r="B110" s="2" t="s">
        <v>253</v>
      </c>
      <c r="C110" s="25"/>
      <c r="D110" s="4"/>
      <c r="E110" s="4" t="s">
        <v>145</v>
      </c>
      <c r="F110" s="4"/>
      <c r="G110" s="4"/>
      <c r="H110" s="4"/>
      <c r="I110" s="4" t="str">
        <f t="shared" si="5"/>
        <v xml:space="preserve">Срок займа/предоставленной финансовой поддержки, количество месяцев </v>
      </c>
      <c r="J110" s="4" t="s">
        <v>145</v>
      </c>
      <c r="K110" s="5"/>
      <c r="L110" s="5"/>
      <c r="M110" s="5" t="s">
        <v>78</v>
      </c>
      <c r="N110" s="5" t="s">
        <v>79</v>
      </c>
      <c r="O110" s="6" t="s">
        <v>81</v>
      </c>
      <c r="P110" s="31"/>
      <c r="Q110" s="6"/>
      <c r="R110" s="6"/>
      <c r="S110" s="14"/>
      <c r="T110" s="14"/>
    </row>
    <row r="111" spans="1:20" ht="15.65" customHeight="1">
      <c r="A111" s="56">
        <v>107</v>
      </c>
      <c r="B111" s="2" t="s">
        <v>254</v>
      </c>
      <c r="C111" s="26"/>
      <c r="D111" s="9"/>
      <c r="E111" s="9"/>
      <c r="F111" s="9" t="s">
        <v>146</v>
      </c>
      <c r="G111" s="9"/>
      <c r="H111" s="9"/>
      <c r="I111" s="9" t="str">
        <f t="shared" si="5"/>
        <v>Дата заключения договора займа</v>
      </c>
      <c r="J111" s="9" t="s">
        <v>146</v>
      </c>
      <c r="K111" s="10" t="s">
        <v>15</v>
      </c>
      <c r="L111" s="10" t="s">
        <v>75</v>
      </c>
      <c r="M111" s="10" t="s">
        <v>77</v>
      </c>
      <c r="N111" s="10" t="s">
        <v>79</v>
      </c>
      <c r="O111" s="12" t="s">
        <v>81</v>
      </c>
      <c r="P111" s="31"/>
      <c r="Q111" s="12" t="s">
        <v>86</v>
      </c>
      <c r="R111" s="12" t="s">
        <v>84</v>
      </c>
      <c r="S111" s="14"/>
      <c r="T111" s="14"/>
    </row>
    <row r="112" spans="1:20" ht="28.3">
      <c r="A112" s="56">
        <v>108</v>
      </c>
      <c r="B112" s="2" t="s">
        <v>255</v>
      </c>
      <c r="C112" s="26"/>
      <c r="D112" s="9"/>
      <c r="E112" s="9"/>
      <c r="F112" s="9" t="s">
        <v>147</v>
      </c>
      <c r="G112" s="9"/>
      <c r="H112" s="9"/>
      <c r="I112" s="9" t="str">
        <f t="shared" si="5"/>
        <v>Дата окончания срока действия договора займа согласно графику погашения</v>
      </c>
      <c r="J112" s="9" t="s">
        <v>147</v>
      </c>
      <c r="K112" s="10" t="s">
        <v>15</v>
      </c>
      <c r="L112" s="10" t="s">
        <v>75</v>
      </c>
      <c r="M112" s="10" t="s">
        <v>77</v>
      </c>
      <c r="N112" s="10" t="s">
        <v>79</v>
      </c>
      <c r="O112" s="12" t="s">
        <v>81</v>
      </c>
      <c r="P112" s="31"/>
      <c r="Q112" s="12" t="s">
        <v>86</v>
      </c>
      <c r="R112" s="12" t="s">
        <v>84</v>
      </c>
      <c r="S112" s="15"/>
      <c r="T112" s="15"/>
    </row>
    <row r="113" spans="1:20">
      <c r="A113" s="56">
        <v>109</v>
      </c>
      <c r="B113" s="2" t="s">
        <v>256</v>
      </c>
      <c r="C113" s="26"/>
      <c r="D113" s="9"/>
      <c r="E113" s="9"/>
      <c r="F113" s="9" t="s">
        <v>24</v>
      </c>
      <c r="G113" s="9"/>
      <c r="H113" s="9"/>
      <c r="I113" s="9" t="str">
        <f t="shared" si="5"/>
        <v>дни (дата окончания минус дата заключения)</v>
      </c>
      <c r="J113" s="9" t="s">
        <v>24</v>
      </c>
      <c r="K113" s="10" t="s">
        <v>72</v>
      </c>
      <c r="L113" s="10" t="s">
        <v>75</v>
      </c>
      <c r="M113" s="10" t="s">
        <v>77</v>
      </c>
      <c r="N113" s="10" t="s">
        <v>79</v>
      </c>
      <c r="O113" s="12" t="s">
        <v>81</v>
      </c>
      <c r="P113" s="31"/>
      <c r="Q113" s="12" t="s">
        <v>86</v>
      </c>
      <c r="R113" s="12" t="s">
        <v>84</v>
      </c>
      <c r="S113" s="15"/>
      <c r="T113" s="15"/>
    </row>
    <row r="114" spans="1:20">
      <c r="A114" s="56">
        <v>110</v>
      </c>
      <c r="B114" s="2" t="s">
        <v>257</v>
      </c>
      <c r="C114" s="26"/>
      <c r="D114" s="9" t="s">
        <v>117</v>
      </c>
      <c r="E114" s="9"/>
      <c r="F114" s="9"/>
      <c r="G114" s="9"/>
      <c r="H114" s="9"/>
      <c r="I114" s="9" t="str">
        <f t="shared" si="5"/>
        <v>Дата начала финансирования</v>
      </c>
      <c r="J114" s="9" t="s">
        <v>117</v>
      </c>
      <c r="K114" s="10" t="s">
        <v>15</v>
      </c>
      <c r="L114" s="10" t="s">
        <v>75</v>
      </c>
      <c r="M114" s="10" t="s">
        <v>77</v>
      </c>
      <c r="N114" s="10" t="s">
        <v>79</v>
      </c>
      <c r="O114" s="12" t="s">
        <v>81</v>
      </c>
      <c r="P114" s="31"/>
      <c r="Q114" s="12" t="s">
        <v>86</v>
      </c>
      <c r="R114" s="12" t="s">
        <v>84</v>
      </c>
      <c r="S114" s="14"/>
      <c r="T114" s="14"/>
    </row>
    <row r="115" spans="1:20" ht="28.3">
      <c r="A115" s="56">
        <v>111</v>
      </c>
      <c r="B115" s="2" t="s">
        <v>258</v>
      </c>
      <c r="C115" s="26"/>
      <c r="D115" s="9" t="s">
        <v>148</v>
      </c>
      <c r="E115" s="9"/>
      <c r="F115" s="9"/>
      <c r="G115" s="9"/>
      <c r="H115" s="9"/>
      <c r="I115" s="9" t="str">
        <f t="shared" si="5"/>
        <v xml:space="preserve">Дата фактического погашения кредита, заполняется если ПРОЕКТ погашен </v>
      </c>
      <c r="J115" s="9" t="s">
        <v>148</v>
      </c>
      <c r="K115" s="10" t="s">
        <v>15</v>
      </c>
      <c r="L115" s="10" t="s">
        <v>75</v>
      </c>
      <c r="M115" s="10" t="s">
        <v>77</v>
      </c>
      <c r="N115" s="10" t="s">
        <v>79</v>
      </c>
      <c r="O115" s="12" t="s">
        <v>81</v>
      </c>
      <c r="P115" s="35"/>
      <c r="Q115" s="12" t="s">
        <v>86</v>
      </c>
      <c r="R115" s="10" t="s">
        <v>84</v>
      </c>
      <c r="S115" s="14"/>
      <c r="T115" s="14"/>
    </row>
    <row r="116" spans="1:20">
      <c r="A116" s="56">
        <v>112</v>
      </c>
      <c r="B116" s="2" t="s">
        <v>259</v>
      </c>
      <c r="C116" s="4" t="s">
        <v>28</v>
      </c>
      <c r="D116" s="4"/>
      <c r="E116" s="4"/>
      <c r="F116" s="4"/>
      <c r="G116" s="4"/>
      <c r="H116" s="4"/>
      <c r="I116" s="4" t="str">
        <f t="shared" si="5"/>
        <v>Освоение</v>
      </c>
      <c r="J116" s="4" t="s">
        <v>28</v>
      </c>
      <c r="K116" s="5"/>
      <c r="L116" s="5"/>
      <c r="M116" s="5" t="s">
        <v>78</v>
      </c>
      <c r="N116" s="5" t="s">
        <v>79</v>
      </c>
      <c r="O116" s="6" t="s">
        <v>81</v>
      </c>
      <c r="P116" s="35"/>
      <c r="Q116" s="6"/>
      <c r="R116" s="6"/>
      <c r="S116" s="14"/>
      <c r="T116" s="14"/>
    </row>
    <row r="117" spans="1:20" ht="28.3">
      <c r="A117" s="56">
        <v>113</v>
      </c>
      <c r="B117" s="2" t="s">
        <v>260</v>
      </c>
      <c r="C117" s="9"/>
      <c r="D117" s="9" t="s">
        <v>62</v>
      </c>
      <c r="E117" s="9"/>
      <c r="F117" s="9"/>
      <c r="G117" s="9"/>
      <c r="H117" s="9"/>
      <c r="I117" s="9" t="str">
        <f t="shared" si="5"/>
        <v>Совокупный объем освоенных средств за весь период с начала финансирования проекта, тенге</v>
      </c>
      <c r="J117" s="9" t="s">
        <v>62</v>
      </c>
      <c r="K117" s="10" t="s">
        <v>73</v>
      </c>
      <c r="L117" s="10" t="s">
        <v>75</v>
      </c>
      <c r="M117" s="10" t="s">
        <v>77</v>
      </c>
      <c r="N117" s="10" t="s">
        <v>79</v>
      </c>
      <c r="O117" s="12" t="s">
        <v>81</v>
      </c>
      <c r="P117" s="35"/>
      <c r="Q117" s="12" t="s">
        <v>86</v>
      </c>
      <c r="R117" s="12" t="s">
        <v>84</v>
      </c>
      <c r="S117" s="14"/>
      <c r="T117" s="14"/>
    </row>
    <row r="118" spans="1:20">
      <c r="A118" s="56">
        <v>114</v>
      </c>
      <c r="B118" s="2" t="s">
        <v>261</v>
      </c>
      <c r="C118" s="9"/>
      <c r="D118" s="9" t="s">
        <v>29</v>
      </c>
      <c r="E118" s="9"/>
      <c r="F118" s="9"/>
      <c r="G118" s="9"/>
      <c r="H118" s="9"/>
      <c r="I118" s="9" t="str">
        <f t="shared" si="5"/>
        <v>Доля освоения, %</v>
      </c>
      <c r="J118" s="9" t="s">
        <v>29</v>
      </c>
      <c r="K118" s="10" t="s">
        <v>71</v>
      </c>
      <c r="L118" s="10" t="s">
        <v>75</v>
      </c>
      <c r="M118" s="10" t="s">
        <v>77</v>
      </c>
      <c r="N118" s="10" t="s">
        <v>79</v>
      </c>
      <c r="O118" s="12" t="s">
        <v>81</v>
      </c>
      <c r="P118" s="31"/>
      <c r="Q118" s="12" t="s">
        <v>86</v>
      </c>
      <c r="R118" s="12" t="s">
        <v>84</v>
      </c>
      <c r="S118" s="14"/>
      <c r="T118" s="14"/>
    </row>
    <row r="119" spans="1:20">
      <c r="A119" s="56">
        <v>115</v>
      </c>
      <c r="B119" s="2" t="s">
        <v>262</v>
      </c>
      <c r="C119" s="4"/>
      <c r="D119" s="3" t="s">
        <v>99</v>
      </c>
      <c r="E119" s="4"/>
      <c r="F119" s="4"/>
      <c r="G119" s="4"/>
      <c r="H119" s="4"/>
      <c r="I119" s="4" t="str">
        <f t="shared" si="5"/>
        <v>Освоение средств по годам</v>
      </c>
      <c r="J119" s="4" t="s">
        <v>99</v>
      </c>
      <c r="K119" s="5"/>
      <c r="L119" s="5"/>
      <c r="M119" s="5" t="s">
        <v>78</v>
      </c>
      <c r="N119" s="5" t="s">
        <v>80</v>
      </c>
      <c r="O119" s="6" t="s">
        <v>81</v>
      </c>
      <c r="P119" s="31"/>
      <c r="Q119" s="6"/>
      <c r="R119" s="6"/>
      <c r="S119" s="14"/>
      <c r="T119" s="14"/>
    </row>
    <row r="120" spans="1:20" ht="15.65" customHeight="1">
      <c r="A120" s="56">
        <v>116</v>
      </c>
      <c r="B120" s="2" t="s">
        <v>263</v>
      </c>
      <c r="C120" s="9"/>
      <c r="D120" s="8"/>
      <c r="E120" s="9" t="s">
        <v>100</v>
      </c>
      <c r="F120" s="9"/>
      <c r="G120" s="9"/>
      <c r="H120" s="9"/>
      <c r="I120" s="9" t="str">
        <f t="shared" si="5"/>
        <v>Год (ГГГГ)</v>
      </c>
      <c r="J120" s="9" t="s">
        <v>100</v>
      </c>
      <c r="K120" s="10" t="s">
        <v>15</v>
      </c>
      <c r="L120" s="10" t="s">
        <v>75</v>
      </c>
      <c r="M120" s="10" t="s">
        <v>77</v>
      </c>
      <c r="N120" s="10" t="s">
        <v>79</v>
      </c>
      <c r="O120" s="12" t="s">
        <v>81</v>
      </c>
      <c r="P120" s="35"/>
      <c r="Q120" s="12" t="s">
        <v>86</v>
      </c>
      <c r="R120" s="10" t="s">
        <v>84</v>
      </c>
      <c r="S120" s="14"/>
      <c r="T120" s="14"/>
    </row>
    <row r="121" spans="1:20" ht="15.65" customHeight="1">
      <c r="A121" s="56">
        <v>117</v>
      </c>
      <c r="B121" s="2" t="s">
        <v>264</v>
      </c>
      <c r="C121" s="9"/>
      <c r="D121" s="8"/>
      <c r="E121" s="9" t="s">
        <v>30</v>
      </c>
      <c r="F121" s="9"/>
      <c r="G121" s="9"/>
      <c r="H121" s="9"/>
      <c r="I121" s="9" t="str">
        <f t="shared" si="5"/>
        <v>План</v>
      </c>
      <c r="J121" s="9" t="s">
        <v>30</v>
      </c>
      <c r="K121" s="10" t="s">
        <v>73</v>
      </c>
      <c r="L121" s="10" t="s">
        <v>75</v>
      </c>
      <c r="M121" s="10" t="s">
        <v>77</v>
      </c>
      <c r="N121" s="10" t="s">
        <v>79</v>
      </c>
      <c r="O121" s="12" t="s">
        <v>81</v>
      </c>
      <c r="P121" s="35"/>
      <c r="Q121" s="12" t="s">
        <v>86</v>
      </c>
      <c r="R121" s="12" t="s">
        <v>84</v>
      </c>
      <c r="S121" s="14"/>
      <c r="T121" s="14"/>
    </row>
    <row r="122" spans="1:20">
      <c r="A122" s="56">
        <v>118</v>
      </c>
      <c r="B122" s="2" t="s">
        <v>265</v>
      </c>
      <c r="C122" s="9"/>
      <c r="D122" s="11"/>
      <c r="E122" s="9" t="s">
        <v>31</v>
      </c>
      <c r="F122" s="9"/>
      <c r="G122" s="9"/>
      <c r="H122" s="9"/>
      <c r="I122" s="9" t="str">
        <f t="shared" si="5"/>
        <v>Факт</v>
      </c>
      <c r="J122" s="9" t="s">
        <v>31</v>
      </c>
      <c r="K122" s="10" t="s">
        <v>73</v>
      </c>
      <c r="L122" s="10" t="s">
        <v>75</v>
      </c>
      <c r="M122" s="10" t="s">
        <v>77</v>
      </c>
      <c r="N122" s="10" t="s">
        <v>79</v>
      </c>
      <c r="O122" s="12" t="s">
        <v>81</v>
      </c>
      <c r="P122" s="31"/>
      <c r="Q122" s="12" t="s">
        <v>86</v>
      </c>
      <c r="R122" s="12" t="s">
        <v>84</v>
      </c>
      <c r="S122" s="14"/>
      <c r="T122" s="14"/>
    </row>
    <row r="123" spans="1:20" ht="28.2" customHeight="1">
      <c r="A123" s="56">
        <v>119</v>
      </c>
      <c r="B123" s="2" t="s">
        <v>266</v>
      </c>
      <c r="C123" s="4" t="s">
        <v>41</v>
      </c>
      <c r="D123" s="4"/>
      <c r="E123" s="4"/>
      <c r="F123" s="4"/>
      <c r="G123" s="4"/>
      <c r="H123" s="4"/>
      <c r="I123" s="4" t="str">
        <f t="shared" si="5"/>
        <v>Социально-экономические эффекты</v>
      </c>
      <c r="J123" s="4" t="s">
        <v>41</v>
      </c>
      <c r="K123" s="5"/>
      <c r="L123" s="5"/>
      <c r="M123" s="5" t="s">
        <v>78</v>
      </c>
      <c r="N123" s="5" t="s">
        <v>79</v>
      </c>
      <c r="O123" s="6" t="s">
        <v>81</v>
      </c>
      <c r="P123" s="31"/>
      <c r="Q123" s="6"/>
      <c r="R123" s="5"/>
      <c r="S123" s="14"/>
      <c r="T123" s="14"/>
    </row>
    <row r="124" spans="1:20" ht="28.2" customHeight="1">
      <c r="A124" s="56">
        <v>120</v>
      </c>
      <c r="B124" s="2" t="s">
        <v>267</v>
      </c>
      <c r="C124" s="4"/>
      <c r="D124" s="4" t="s">
        <v>149</v>
      </c>
      <c r="E124" s="4"/>
      <c r="F124" s="4"/>
      <c r="G124" s="4"/>
      <c r="H124" s="4"/>
      <c r="I124" s="4" t="str">
        <f t="shared" si="5"/>
        <v>Объем продукции в ед. измерения (тонна, литр и тд.)</v>
      </c>
      <c r="J124" s="4" t="s">
        <v>149</v>
      </c>
      <c r="K124" s="5"/>
      <c r="L124" s="5"/>
      <c r="M124" s="5" t="s">
        <v>78</v>
      </c>
      <c r="N124" s="5" t="s">
        <v>80</v>
      </c>
      <c r="O124" s="6" t="s">
        <v>81</v>
      </c>
      <c r="P124" s="31"/>
      <c r="Q124" s="6"/>
      <c r="R124" s="5"/>
      <c r="S124" s="14"/>
      <c r="T124" s="14"/>
    </row>
    <row r="125" spans="1:20">
      <c r="A125" s="56">
        <v>121</v>
      </c>
      <c r="B125" s="2" t="s">
        <v>268</v>
      </c>
      <c r="C125" s="37"/>
      <c r="D125" s="37"/>
      <c r="E125" s="37" t="s">
        <v>327</v>
      </c>
      <c r="F125" s="37"/>
      <c r="G125" s="37"/>
      <c r="H125" s="37"/>
      <c r="I125" s="9" t="str">
        <f t="shared" si="5"/>
        <v>Год отчетного периода</v>
      </c>
      <c r="J125" s="9" t="s">
        <v>327</v>
      </c>
      <c r="K125" s="10" t="s">
        <v>15</v>
      </c>
      <c r="L125" s="10" t="s">
        <v>75</v>
      </c>
      <c r="M125" s="10" t="s">
        <v>77</v>
      </c>
      <c r="N125" s="10" t="s">
        <v>79</v>
      </c>
      <c r="O125" s="12" t="s">
        <v>81</v>
      </c>
      <c r="P125" s="31"/>
      <c r="Q125" s="12" t="s">
        <v>86</v>
      </c>
      <c r="R125" s="10" t="s">
        <v>84</v>
      </c>
      <c r="S125" s="10"/>
      <c r="T125" s="10"/>
    </row>
    <row r="126" spans="1:20" ht="28.2" customHeight="1">
      <c r="A126" s="56">
        <v>122</v>
      </c>
      <c r="B126" s="2" t="s">
        <v>269</v>
      </c>
      <c r="C126" s="9"/>
      <c r="D126" s="9"/>
      <c r="E126" s="9" t="s">
        <v>136</v>
      </c>
      <c r="F126" s="9"/>
      <c r="G126" s="9"/>
      <c r="H126" s="9"/>
      <c r="I126" s="9" t="str">
        <f t="shared" si="5"/>
        <v>Наименование продукции</v>
      </c>
      <c r="J126" s="9" t="s">
        <v>136</v>
      </c>
      <c r="K126" s="10" t="s">
        <v>71</v>
      </c>
      <c r="L126" s="10" t="s">
        <v>76</v>
      </c>
      <c r="M126" s="10" t="s">
        <v>77</v>
      </c>
      <c r="N126" s="10" t="s">
        <v>79</v>
      </c>
      <c r="O126" s="12" t="s">
        <v>81</v>
      </c>
      <c r="P126" s="34" t="s">
        <v>323</v>
      </c>
      <c r="Q126" s="12" t="s">
        <v>86</v>
      </c>
      <c r="R126" s="10" t="s">
        <v>84</v>
      </c>
      <c r="S126" s="14"/>
      <c r="T126" s="14"/>
    </row>
    <row r="127" spans="1:20">
      <c r="A127" s="56">
        <v>123</v>
      </c>
      <c r="B127" s="2" t="s">
        <v>270</v>
      </c>
      <c r="C127" s="9"/>
      <c r="D127" s="9"/>
      <c r="E127" s="9" t="s">
        <v>150</v>
      </c>
      <c r="F127" s="9"/>
      <c r="G127" s="9"/>
      <c r="H127" s="9"/>
      <c r="I127" s="9" t="str">
        <f t="shared" si="5"/>
        <v>ед. измерения</v>
      </c>
      <c r="J127" s="9" t="s">
        <v>150</v>
      </c>
      <c r="K127" s="10" t="s">
        <v>71</v>
      </c>
      <c r="L127" s="10" t="s">
        <v>76</v>
      </c>
      <c r="M127" s="10" t="s">
        <v>77</v>
      </c>
      <c r="N127" s="10" t="s">
        <v>79</v>
      </c>
      <c r="O127" s="12" t="s">
        <v>81</v>
      </c>
      <c r="P127" s="34" t="s">
        <v>319</v>
      </c>
      <c r="Q127" s="12" t="s">
        <v>86</v>
      </c>
      <c r="R127" s="10" t="s">
        <v>84</v>
      </c>
      <c r="S127" s="14"/>
      <c r="T127" s="14"/>
    </row>
    <row r="128" spans="1:20">
      <c r="A128" s="56">
        <v>124</v>
      </c>
      <c r="B128" s="2" t="s">
        <v>271</v>
      </c>
      <c r="C128" s="9"/>
      <c r="D128" s="9"/>
      <c r="E128" s="9" t="s">
        <v>43</v>
      </c>
      <c r="F128" s="9"/>
      <c r="G128" s="9"/>
      <c r="H128" s="9"/>
      <c r="I128" s="9" t="str">
        <f t="shared" si="5"/>
        <v>план</v>
      </c>
      <c r="J128" s="9" t="s">
        <v>43</v>
      </c>
      <c r="K128" s="10" t="s">
        <v>72</v>
      </c>
      <c r="L128" s="10" t="s">
        <v>75</v>
      </c>
      <c r="M128" s="10" t="s">
        <v>77</v>
      </c>
      <c r="N128" s="10" t="s">
        <v>79</v>
      </c>
      <c r="O128" s="12" t="s">
        <v>81</v>
      </c>
      <c r="P128" s="31"/>
      <c r="Q128" s="12" t="s">
        <v>86</v>
      </c>
      <c r="R128" s="10" t="s">
        <v>84</v>
      </c>
      <c r="S128" s="15"/>
      <c r="T128" s="15"/>
    </row>
    <row r="129" spans="1:20">
      <c r="A129" s="56">
        <v>125</v>
      </c>
      <c r="B129" s="2" t="s">
        <v>272</v>
      </c>
      <c r="C129" s="9"/>
      <c r="D129" s="9"/>
      <c r="E129" s="9" t="s">
        <v>42</v>
      </c>
      <c r="F129" s="9"/>
      <c r="G129" s="9"/>
      <c r="H129" s="9"/>
      <c r="I129" s="9" t="str">
        <f t="shared" si="5"/>
        <v>факт</v>
      </c>
      <c r="J129" s="9" t="s">
        <v>42</v>
      </c>
      <c r="K129" s="10" t="s">
        <v>72</v>
      </c>
      <c r="L129" s="10" t="s">
        <v>75</v>
      </c>
      <c r="M129" s="10" t="s">
        <v>77</v>
      </c>
      <c r="N129" s="10" t="s">
        <v>79</v>
      </c>
      <c r="O129" s="12" t="s">
        <v>81</v>
      </c>
      <c r="P129" s="31"/>
      <c r="Q129" s="12" t="s">
        <v>86</v>
      </c>
      <c r="R129" s="10" t="s">
        <v>84</v>
      </c>
      <c r="S129" s="14"/>
      <c r="T129" s="14"/>
    </row>
    <row r="130" spans="1:20">
      <c r="A130" s="56">
        <v>126</v>
      </c>
      <c r="B130" s="2" t="s">
        <v>273</v>
      </c>
      <c r="C130" s="37"/>
      <c r="D130" s="37"/>
      <c r="E130" s="37" t="s">
        <v>328</v>
      </c>
      <c r="F130" s="37"/>
      <c r="G130" s="37"/>
      <c r="H130" s="37"/>
      <c r="I130" s="9" t="str">
        <f t="shared" si="5"/>
        <v>план (кумулятивно за все года)</v>
      </c>
      <c r="J130" s="9" t="s">
        <v>328</v>
      </c>
      <c r="K130" s="10" t="s">
        <v>72</v>
      </c>
      <c r="L130" s="10" t="s">
        <v>75</v>
      </c>
      <c r="M130" s="10" t="s">
        <v>77</v>
      </c>
      <c r="N130" s="10" t="s">
        <v>79</v>
      </c>
      <c r="O130" s="12" t="s">
        <v>81</v>
      </c>
      <c r="P130" s="35"/>
      <c r="Q130" s="12" t="s">
        <v>86</v>
      </c>
      <c r="R130" s="10" t="s">
        <v>84</v>
      </c>
      <c r="S130" s="10"/>
      <c r="T130" s="10"/>
    </row>
    <row r="131" spans="1:20">
      <c r="A131" s="56">
        <v>127</v>
      </c>
      <c r="B131" s="2" t="s">
        <v>274</v>
      </c>
      <c r="C131" s="37"/>
      <c r="D131" s="37"/>
      <c r="E131" s="37" t="s">
        <v>123</v>
      </c>
      <c r="F131" s="37"/>
      <c r="G131" s="37"/>
      <c r="H131" s="37"/>
      <c r="I131" s="9" t="str">
        <f t="shared" si="5"/>
        <v>факт (кумулятивно за все года)</v>
      </c>
      <c r="J131" s="9" t="s">
        <v>123</v>
      </c>
      <c r="K131" s="10" t="s">
        <v>72</v>
      </c>
      <c r="L131" s="10" t="s">
        <v>75</v>
      </c>
      <c r="M131" s="10" t="s">
        <v>77</v>
      </c>
      <c r="N131" s="10" t="s">
        <v>79</v>
      </c>
      <c r="O131" s="12" t="s">
        <v>81</v>
      </c>
      <c r="P131" s="31"/>
      <c r="Q131" s="12" t="s">
        <v>86</v>
      </c>
      <c r="R131" s="10" t="s">
        <v>84</v>
      </c>
      <c r="S131" s="10"/>
      <c r="T131" s="10"/>
    </row>
    <row r="132" spans="1:20" ht="15.65" customHeight="1">
      <c r="A132" s="56">
        <v>128</v>
      </c>
      <c r="B132" s="2" t="s">
        <v>275</v>
      </c>
      <c r="C132" s="4"/>
      <c r="D132" s="4" t="s">
        <v>151</v>
      </c>
      <c r="E132" s="4"/>
      <c r="F132" s="4"/>
      <c r="G132" s="4"/>
      <c r="H132" s="4"/>
      <c r="I132" s="4" t="str">
        <f t="shared" si="5"/>
        <v>Количество рабочих мест, ед.</v>
      </c>
      <c r="J132" s="4" t="s">
        <v>151</v>
      </c>
      <c r="K132" s="5"/>
      <c r="L132" s="5"/>
      <c r="M132" s="5" t="s">
        <v>78</v>
      </c>
      <c r="N132" s="5" t="s">
        <v>79</v>
      </c>
      <c r="O132" s="6" t="s">
        <v>81</v>
      </c>
      <c r="P132" s="31"/>
      <c r="Q132" s="6"/>
      <c r="R132" s="5"/>
      <c r="S132" s="14"/>
      <c r="T132" s="14"/>
    </row>
    <row r="133" spans="1:20" ht="15.65" customHeight="1">
      <c r="A133" s="56">
        <v>129</v>
      </c>
      <c r="B133" s="2" t="s">
        <v>276</v>
      </c>
      <c r="C133" s="4"/>
      <c r="D133" s="4"/>
      <c r="E133" s="4" t="s">
        <v>122</v>
      </c>
      <c r="F133" s="4"/>
      <c r="G133" s="4"/>
      <c r="H133" s="4"/>
      <c r="I133" s="4" t="str">
        <f t="shared" si="5"/>
        <v>Текущее количество рабочих мест, занятых на предприятии, ед.</v>
      </c>
      <c r="J133" s="4" t="s">
        <v>122</v>
      </c>
      <c r="K133" s="5"/>
      <c r="L133" s="5"/>
      <c r="M133" s="5" t="s">
        <v>78</v>
      </c>
      <c r="N133" s="5" t="s">
        <v>80</v>
      </c>
      <c r="O133" s="6" t="s">
        <v>81</v>
      </c>
      <c r="P133" s="31"/>
      <c r="Q133" s="6"/>
      <c r="R133" s="5"/>
      <c r="S133" s="14"/>
      <c r="T133" s="14"/>
    </row>
    <row r="134" spans="1:20">
      <c r="A134" s="56">
        <v>130</v>
      </c>
      <c r="B134" s="2" t="s">
        <v>277</v>
      </c>
      <c r="C134" s="37"/>
      <c r="D134" s="37"/>
      <c r="E134" s="37"/>
      <c r="F134" s="37" t="s">
        <v>327</v>
      </c>
      <c r="G134" s="37"/>
      <c r="H134" s="37"/>
      <c r="I134" s="9" t="str">
        <f t="shared" si="5"/>
        <v>Год отчетного периода</v>
      </c>
      <c r="J134" s="9" t="s">
        <v>327</v>
      </c>
      <c r="K134" s="10" t="s">
        <v>15</v>
      </c>
      <c r="L134" s="10" t="s">
        <v>75</v>
      </c>
      <c r="M134" s="10" t="s">
        <v>77</v>
      </c>
      <c r="N134" s="10" t="s">
        <v>79</v>
      </c>
      <c r="O134" s="12" t="s">
        <v>81</v>
      </c>
      <c r="P134" s="31"/>
      <c r="Q134" s="12" t="s">
        <v>86</v>
      </c>
      <c r="R134" s="10" t="s">
        <v>84</v>
      </c>
      <c r="S134" s="10"/>
      <c r="T134" s="10"/>
    </row>
    <row r="135" spans="1:20">
      <c r="A135" s="56">
        <v>131</v>
      </c>
      <c r="B135" s="2" t="s">
        <v>278</v>
      </c>
      <c r="C135" s="37"/>
      <c r="D135" s="37"/>
      <c r="E135" s="37"/>
      <c r="F135" s="37" t="s">
        <v>43</v>
      </c>
      <c r="G135" s="37"/>
      <c r="H135" s="37"/>
      <c r="I135" s="9" t="str">
        <f t="shared" ref="I135:I156" si="6">_xlfn.TEXTJOIN(".",TRUE(),C135:H135)</f>
        <v>план</v>
      </c>
      <c r="J135" s="9" t="s">
        <v>43</v>
      </c>
      <c r="K135" s="10" t="s">
        <v>72</v>
      </c>
      <c r="L135" s="10" t="s">
        <v>75</v>
      </c>
      <c r="M135" s="10" t="s">
        <v>77</v>
      </c>
      <c r="N135" s="10" t="s">
        <v>79</v>
      </c>
      <c r="O135" s="12" t="s">
        <v>81</v>
      </c>
      <c r="P135" s="31"/>
      <c r="Q135" s="12" t="s">
        <v>86</v>
      </c>
      <c r="R135" s="10" t="s">
        <v>84</v>
      </c>
      <c r="S135" s="10"/>
      <c r="T135" s="10"/>
    </row>
    <row r="136" spans="1:20">
      <c r="A136" s="56">
        <v>132</v>
      </c>
      <c r="B136" s="2" t="s">
        <v>279</v>
      </c>
      <c r="C136" s="9"/>
      <c r="D136" s="9"/>
      <c r="E136" s="9"/>
      <c r="F136" s="9" t="s">
        <v>42</v>
      </c>
      <c r="G136" s="9"/>
      <c r="H136" s="9"/>
      <c r="I136" s="9" t="str">
        <f t="shared" si="6"/>
        <v>факт</v>
      </c>
      <c r="J136" s="9" t="s">
        <v>42</v>
      </c>
      <c r="K136" s="10" t="s">
        <v>72</v>
      </c>
      <c r="L136" s="10" t="s">
        <v>75</v>
      </c>
      <c r="M136" s="10" t="s">
        <v>77</v>
      </c>
      <c r="N136" s="10" t="s">
        <v>79</v>
      </c>
      <c r="O136" s="12" t="s">
        <v>81</v>
      </c>
      <c r="P136" s="31"/>
      <c r="Q136" s="12" t="s">
        <v>86</v>
      </c>
      <c r="R136" s="10" t="s">
        <v>84</v>
      </c>
      <c r="S136" s="14"/>
      <c r="T136" s="14"/>
    </row>
    <row r="137" spans="1:20">
      <c r="A137" s="56">
        <v>133</v>
      </c>
      <c r="B137" s="2" t="s">
        <v>280</v>
      </c>
      <c r="C137" s="4"/>
      <c r="D137" s="4"/>
      <c r="E137" s="4" t="s">
        <v>124</v>
      </c>
      <c r="F137" s="4"/>
      <c r="G137" s="4"/>
      <c r="H137" s="4"/>
      <c r="I137" s="4" t="str">
        <f t="shared" si="6"/>
        <v>Количество созданных рабочих мест, ед.</v>
      </c>
      <c r="J137" s="4" t="s">
        <v>124</v>
      </c>
      <c r="K137" s="5"/>
      <c r="L137" s="5"/>
      <c r="M137" s="5" t="s">
        <v>78</v>
      </c>
      <c r="N137" s="5" t="s">
        <v>80</v>
      </c>
      <c r="O137" s="6" t="s">
        <v>81</v>
      </c>
      <c r="P137" s="31"/>
      <c r="Q137" s="6"/>
      <c r="R137" s="5"/>
      <c r="S137" s="14"/>
      <c r="T137" s="14"/>
    </row>
    <row r="138" spans="1:20">
      <c r="A138" s="56">
        <v>134</v>
      </c>
      <c r="B138" s="2" t="s">
        <v>281</v>
      </c>
      <c r="C138" s="37"/>
      <c r="D138" s="37"/>
      <c r="E138" s="37"/>
      <c r="F138" s="37" t="s">
        <v>327</v>
      </c>
      <c r="G138" s="37"/>
      <c r="H138" s="37"/>
      <c r="I138" s="9" t="str">
        <f t="shared" si="6"/>
        <v>Год отчетного периода</v>
      </c>
      <c r="J138" s="9" t="s">
        <v>327</v>
      </c>
      <c r="K138" s="10" t="s">
        <v>15</v>
      </c>
      <c r="L138" s="10" t="s">
        <v>75</v>
      </c>
      <c r="M138" s="10" t="s">
        <v>77</v>
      </c>
      <c r="N138" s="10" t="s">
        <v>79</v>
      </c>
      <c r="O138" s="12" t="s">
        <v>81</v>
      </c>
      <c r="P138" s="31"/>
      <c r="Q138" s="12" t="s">
        <v>86</v>
      </c>
      <c r="R138" s="12" t="s">
        <v>84</v>
      </c>
      <c r="S138" s="10"/>
      <c r="T138" s="10"/>
    </row>
    <row r="139" spans="1:20">
      <c r="A139" s="56">
        <v>135</v>
      </c>
      <c r="B139" s="2" t="s">
        <v>282</v>
      </c>
      <c r="C139" s="37"/>
      <c r="D139" s="37"/>
      <c r="E139" s="37"/>
      <c r="F139" s="37" t="s">
        <v>43</v>
      </c>
      <c r="G139" s="37"/>
      <c r="H139" s="37"/>
      <c r="I139" s="9" t="str">
        <f t="shared" si="6"/>
        <v>план</v>
      </c>
      <c r="J139" s="9" t="s">
        <v>43</v>
      </c>
      <c r="K139" s="10" t="s">
        <v>72</v>
      </c>
      <c r="L139" s="10" t="s">
        <v>75</v>
      </c>
      <c r="M139" s="10" t="s">
        <v>77</v>
      </c>
      <c r="N139" s="10" t="s">
        <v>79</v>
      </c>
      <c r="O139" s="12" t="s">
        <v>81</v>
      </c>
      <c r="P139" s="31"/>
      <c r="Q139" s="12" t="s">
        <v>86</v>
      </c>
      <c r="R139" s="12" t="s">
        <v>84</v>
      </c>
      <c r="S139" s="10"/>
      <c r="T139" s="10"/>
    </row>
    <row r="140" spans="1:20">
      <c r="A140" s="56">
        <v>136</v>
      </c>
      <c r="B140" s="2" t="s">
        <v>289</v>
      </c>
      <c r="C140" s="9"/>
      <c r="D140" s="9"/>
      <c r="E140" s="9"/>
      <c r="F140" s="9" t="s">
        <v>42</v>
      </c>
      <c r="G140" s="9"/>
      <c r="H140" s="9"/>
      <c r="I140" s="9" t="str">
        <f t="shared" si="6"/>
        <v>факт</v>
      </c>
      <c r="J140" s="9" t="s">
        <v>42</v>
      </c>
      <c r="K140" s="10" t="s">
        <v>72</v>
      </c>
      <c r="L140" s="10" t="s">
        <v>75</v>
      </c>
      <c r="M140" s="10" t="s">
        <v>77</v>
      </c>
      <c r="N140" s="10" t="s">
        <v>79</v>
      </c>
      <c r="O140" s="12" t="s">
        <v>81</v>
      </c>
      <c r="P140" s="31"/>
      <c r="Q140" s="12" t="s">
        <v>86</v>
      </c>
      <c r="R140" s="12" t="s">
        <v>84</v>
      </c>
      <c r="S140" s="15"/>
      <c r="T140" s="15"/>
    </row>
    <row r="141" spans="1:20">
      <c r="A141" s="56">
        <v>137</v>
      </c>
      <c r="B141" s="2" t="s">
        <v>290</v>
      </c>
      <c r="C141" s="37"/>
      <c r="D141" s="37"/>
      <c r="E141" s="37"/>
      <c r="F141" s="37" t="s">
        <v>328</v>
      </c>
      <c r="G141" s="37"/>
      <c r="H141" s="37"/>
      <c r="I141" s="9" t="str">
        <f t="shared" si="6"/>
        <v>план (кумулятивно за все года)</v>
      </c>
      <c r="J141" s="9" t="s">
        <v>328</v>
      </c>
      <c r="K141" s="10" t="s">
        <v>72</v>
      </c>
      <c r="L141" s="10" t="s">
        <v>75</v>
      </c>
      <c r="M141" s="10" t="s">
        <v>77</v>
      </c>
      <c r="N141" s="10" t="s">
        <v>79</v>
      </c>
      <c r="O141" s="12" t="s">
        <v>81</v>
      </c>
      <c r="P141" s="35"/>
      <c r="Q141" s="12" t="s">
        <v>86</v>
      </c>
      <c r="R141" s="12" t="s">
        <v>84</v>
      </c>
      <c r="S141" s="10"/>
      <c r="T141" s="10"/>
    </row>
    <row r="142" spans="1:20">
      <c r="A142" s="56">
        <v>138</v>
      </c>
      <c r="B142" s="2" t="s">
        <v>291</v>
      </c>
      <c r="C142" s="9"/>
      <c r="D142" s="9"/>
      <c r="E142" s="9"/>
      <c r="F142" s="9" t="s">
        <v>123</v>
      </c>
      <c r="G142" s="9"/>
      <c r="H142" s="9"/>
      <c r="I142" s="9" t="str">
        <f t="shared" si="6"/>
        <v>факт (кумулятивно за все года)</v>
      </c>
      <c r="J142" s="9" t="s">
        <v>123</v>
      </c>
      <c r="K142" s="10" t="s">
        <v>72</v>
      </c>
      <c r="L142" s="10" t="s">
        <v>75</v>
      </c>
      <c r="M142" s="10" t="s">
        <v>77</v>
      </c>
      <c r="N142" s="10" t="s">
        <v>79</v>
      </c>
      <c r="O142" s="12" t="s">
        <v>81</v>
      </c>
      <c r="P142" s="31"/>
      <c r="Q142" s="12" t="s">
        <v>86</v>
      </c>
      <c r="R142" s="10" t="s">
        <v>84</v>
      </c>
      <c r="S142" s="15"/>
      <c r="T142" s="15"/>
    </row>
    <row r="143" spans="1:20" ht="15.65" customHeight="1">
      <c r="A143" s="56">
        <v>139</v>
      </c>
      <c r="B143" s="2" t="s">
        <v>292</v>
      </c>
      <c r="C143" s="4"/>
      <c r="D143" s="4" t="s">
        <v>125</v>
      </c>
      <c r="E143" s="4"/>
      <c r="F143" s="4"/>
      <c r="G143" s="4"/>
      <c r="H143" s="4"/>
      <c r="I143" s="4" t="str">
        <f t="shared" si="6"/>
        <v>Уплаченные налоги и другие обязательные платежи в бюджет, тенге</v>
      </c>
      <c r="J143" s="4" t="s">
        <v>125</v>
      </c>
      <c r="K143" s="5"/>
      <c r="L143" s="5"/>
      <c r="M143" s="5" t="s">
        <v>78</v>
      </c>
      <c r="N143" s="5" t="s">
        <v>80</v>
      </c>
      <c r="O143" s="6" t="s">
        <v>81</v>
      </c>
      <c r="P143" s="31"/>
      <c r="Q143" s="6"/>
      <c r="R143" s="5"/>
      <c r="S143" s="14"/>
      <c r="T143" s="14"/>
    </row>
    <row r="144" spans="1:20">
      <c r="A144" s="56">
        <v>140</v>
      </c>
      <c r="B144" s="2" t="s">
        <v>295</v>
      </c>
      <c r="C144" s="37"/>
      <c r="D144" s="37"/>
      <c r="E144" s="37" t="s">
        <v>327</v>
      </c>
      <c r="F144" s="37"/>
      <c r="G144" s="37"/>
      <c r="H144" s="37"/>
      <c r="I144" s="9" t="str">
        <f t="shared" si="6"/>
        <v>Год отчетного периода</v>
      </c>
      <c r="J144" s="9" t="s">
        <v>327</v>
      </c>
      <c r="K144" s="10" t="s">
        <v>15</v>
      </c>
      <c r="L144" s="10" t="s">
        <v>75</v>
      </c>
      <c r="M144" s="10" t="s">
        <v>77</v>
      </c>
      <c r="N144" s="10" t="s">
        <v>79</v>
      </c>
      <c r="O144" s="12" t="s">
        <v>81</v>
      </c>
      <c r="P144" s="31"/>
      <c r="Q144" s="12" t="s">
        <v>86</v>
      </c>
      <c r="R144" s="10" t="s">
        <v>84</v>
      </c>
      <c r="S144" s="10"/>
      <c r="T144" s="10"/>
    </row>
    <row r="145" spans="1:20" ht="15.65" customHeight="1">
      <c r="A145" s="56">
        <v>141</v>
      </c>
      <c r="B145" s="2" t="s">
        <v>296</v>
      </c>
      <c r="C145" s="9"/>
      <c r="D145" s="9"/>
      <c r="E145" s="9" t="s">
        <v>43</v>
      </c>
      <c r="F145" s="9"/>
      <c r="G145" s="9"/>
      <c r="H145" s="9"/>
      <c r="I145" s="9" t="str">
        <f t="shared" si="6"/>
        <v>план</v>
      </c>
      <c r="J145" s="9" t="s">
        <v>43</v>
      </c>
      <c r="K145" s="10" t="s">
        <v>73</v>
      </c>
      <c r="L145" s="10" t="s">
        <v>75</v>
      </c>
      <c r="M145" s="10" t="s">
        <v>77</v>
      </c>
      <c r="N145" s="10" t="s">
        <v>79</v>
      </c>
      <c r="O145" s="12" t="s">
        <v>81</v>
      </c>
      <c r="P145" s="31"/>
      <c r="Q145" s="12" t="s">
        <v>86</v>
      </c>
      <c r="R145" s="10" t="s">
        <v>84</v>
      </c>
      <c r="S145" s="14"/>
      <c r="T145" s="14"/>
    </row>
    <row r="146" spans="1:20">
      <c r="A146" s="56">
        <v>142</v>
      </c>
      <c r="B146" s="2" t="s">
        <v>316</v>
      </c>
      <c r="C146" s="9"/>
      <c r="D146" s="9"/>
      <c r="E146" s="9" t="s">
        <v>42</v>
      </c>
      <c r="F146" s="9"/>
      <c r="G146" s="9"/>
      <c r="H146" s="9"/>
      <c r="I146" s="9" t="str">
        <f t="shared" si="6"/>
        <v>факт</v>
      </c>
      <c r="J146" s="9" t="s">
        <v>42</v>
      </c>
      <c r="K146" s="10" t="s">
        <v>73</v>
      </c>
      <c r="L146" s="10" t="s">
        <v>75</v>
      </c>
      <c r="M146" s="10" t="s">
        <v>77</v>
      </c>
      <c r="N146" s="10" t="s">
        <v>79</v>
      </c>
      <c r="O146" s="12" t="s">
        <v>81</v>
      </c>
      <c r="P146" s="31"/>
      <c r="Q146" s="12" t="s">
        <v>86</v>
      </c>
      <c r="R146" s="10" t="s">
        <v>84</v>
      </c>
      <c r="S146" s="14"/>
      <c r="T146" s="14"/>
    </row>
    <row r="147" spans="1:20">
      <c r="A147" s="56">
        <v>143</v>
      </c>
      <c r="B147" s="2" t="s">
        <v>317</v>
      </c>
      <c r="C147" s="37"/>
      <c r="D147" s="37"/>
      <c r="E147" s="37" t="s">
        <v>328</v>
      </c>
      <c r="F147" s="37"/>
      <c r="G147" s="37"/>
      <c r="H147" s="37"/>
      <c r="I147" s="9" t="str">
        <f t="shared" si="6"/>
        <v>план (кумулятивно за все года)</v>
      </c>
      <c r="J147" s="9" t="s">
        <v>328</v>
      </c>
      <c r="K147" s="10" t="s">
        <v>73</v>
      </c>
      <c r="L147" s="10" t="s">
        <v>75</v>
      </c>
      <c r="M147" s="10" t="s">
        <v>77</v>
      </c>
      <c r="N147" s="10" t="s">
        <v>79</v>
      </c>
      <c r="O147" s="12" t="s">
        <v>81</v>
      </c>
      <c r="P147" s="35"/>
      <c r="Q147" s="12" t="s">
        <v>86</v>
      </c>
      <c r="R147" s="10" t="s">
        <v>84</v>
      </c>
      <c r="S147" s="10"/>
      <c r="T147" s="10"/>
    </row>
    <row r="148" spans="1:20">
      <c r="A148" s="56">
        <v>144</v>
      </c>
      <c r="B148" s="2" t="s">
        <v>329</v>
      </c>
      <c r="C148" s="9"/>
      <c r="D148" s="9"/>
      <c r="E148" s="9" t="s">
        <v>123</v>
      </c>
      <c r="F148" s="9"/>
      <c r="G148" s="9"/>
      <c r="H148" s="9"/>
      <c r="I148" s="9" t="str">
        <f t="shared" si="6"/>
        <v>факт (кумулятивно за все года)</v>
      </c>
      <c r="J148" s="9" t="s">
        <v>123</v>
      </c>
      <c r="K148" s="10" t="s">
        <v>73</v>
      </c>
      <c r="L148" s="10" t="s">
        <v>75</v>
      </c>
      <c r="M148" s="10" t="s">
        <v>77</v>
      </c>
      <c r="N148" s="10" t="s">
        <v>79</v>
      </c>
      <c r="O148" s="12" t="s">
        <v>81</v>
      </c>
      <c r="P148" s="31"/>
      <c r="Q148" s="12" t="s">
        <v>86</v>
      </c>
      <c r="R148" s="10" t="s">
        <v>84</v>
      </c>
      <c r="S148" s="15"/>
      <c r="T148" s="15"/>
    </row>
    <row r="149" spans="1:20">
      <c r="A149" s="56">
        <v>145</v>
      </c>
      <c r="B149" s="2" t="s">
        <v>330</v>
      </c>
      <c r="C149" s="4"/>
      <c r="D149" s="4" t="s">
        <v>44</v>
      </c>
      <c r="E149" s="4"/>
      <c r="F149" s="4"/>
      <c r="G149" s="4"/>
      <c r="H149" s="4"/>
      <c r="I149" s="4" t="str">
        <f t="shared" si="6"/>
        <v>Встречные обязательства</v>
      </c>
      <c r="J149" s="4" t="s">
        <v>44</v>
      </c>
      <c r="K149" s="5"/>
      <c r="L149" s="5"/>
      <c r="M149" s="5" t="s">
        <v>78</v>
      </c>
      <c r="N149" s="5" t="s">
        <v>80</v>
      </c>
      <c r="O149" s="6" t="s">
        <v>81</v>
      </c>
      <c r="P149" s="31"/>
      <c r="Q149" s="6"/>
      <c r="R149" s="5"/>
      <c r="S149" s="14"/>
      <c r="T149" s="14"/>
    </row>
    <row r="150" spans="1:20">
      <c r="A150" s="56">
        <v>146</v>
      </c>
      <c r="B150" s="2" t="s">
        <v>331</v>
      </c>
      <c r="C150" s="37"/>
      <c r="D150" s="37"/>
      <c r="E150" s="37" t="s">
        <v>327</v>
      </c>
      <c r="F150" s="37"/>
      <c r="G150" s="37"/>
      <c r="H150" s="37"/>
      <c r="I150" s="9" t="str">
        <f t="shared" si="6"/>
        <v>Год отчетного периода</v>
      </c>
      <c r="J150" s="9" t="s">
        <v>327</v>
      </c>
      <c r="K150" s="10" t="s">
        <v>15</v>
      </c>
      <c r="L150" s="10" t="s">
        <v>75</v>
      </c>
      <c r="M150" s="10" t="s">
        <v>77</v>
      </c>
      <c r="N150" s="10" t="s">
        <v>79</v>
      </c>
      <c r="O150" s="12" t="s">
        <v>81</v>
      </c>
      <c r="P150" s="31"/>
      <c r="Q150" s="12" t="s">
        <v>86</v>
      </c>
      <c r="R150" s="10" t="s">
        <v>84</v>
      </c>
      <c r="S150" s="10"/>
      <c r="T150" s="10"/>
    </row>
    <row r="151" spans="1:20">
      <c r="A151" s="56">
        <v>147</v>
      </c>
      <c r="B151" s="2" t="s">
        <v>332</v>
      </c>
      <c r="C151" s="9"/>
      <c r="D151" s="9"/>
      <c r="E151" s="9" t="s">
        <v>43</v>
      </c>
      <c r="F151" s="9"/>
      <c r="G151" s="9"/>
      <c r="H151" s="9"/>
      <c r="I151" s="9" t="str">
        <f t="shared" si="6"/>
        <v>план</v>
      </c>
      <c r="J151" s="9" t="s">
        <v>43</v>
      </c>
      <c r="K151" s="10" t="s">
        <v>71</v>
      </c>
      <c r="L151" s="10" t="s">
        <v>74</v>
      </c>
      <c r="M151" s="10" t="s">
        <v>77</v>
      </c>
      <c r="N151" s="10" t="s">
        <v>79</v>
      </c>
      <c r="O151" s="12" t="s">
        <v>81</v>
      </c>
      <c r="P151" s="31"/>
      <c r="Q151" s="12" t="s">
        <v>86</v>
      </c>
      <c r="R151" s="10" t="s">
        <v>84</v>
      </c>
      <c r="S151" s="14"/>
      <c r="T151" s="14"/>
    </row>
    <row r="152" spans="1:20">
      <c r="A152" s="56">
        <v>148</v>
      </c>
      <c r="B152" s="2" t="s">
        <v>333</v>
      </c>
      <c r="C152" s="9"/>
      <c r="D152" s="9"/>
      <c r="E152" s="9" t="s">
        <v>42</v>
      </c>
      <c r="F152" s="9"/>
      <c r="G152" s="9"/>
      <c r="H152" s="9"/>
      <c r="I152" s="9" t="str">
        <f t="shared" si="6"/>
        <v>факт</v>
      </c>
      <c r="J152" s="9" t="s">
        <v>42</v>
      </c>
      <c r="K152" s="10" t="s">
        <v>71</v>
      </c>
      <c r="L152" s="10" t="s">
        <v>74</v>
      </c>
      <c r="M152" s="10" t="s">
        <v>77</v>
      </c>
      <c r="N152" s="10" t="s">
        <v>79</v>
      </c>
      <c r="O152" s="12" t="s">
        <v>81</v>
      </c>
      <c r="P152" s="35"/>
      <c r="Q152" s="12" t="s">
        <v>86</v>
      </c>
      <c r="R152" s="10" t="s">
        <v>84</v>
      </c>
      <c r="S152" s="14"/>
      <c r="T152" s="14"/>
    </row>
    <row r="153" spans="1:20" ht="28.2" customHeight="1">
      <c r="A153" s="56">
        <v>149</v>
      </c>
      <c r="B153" s="2" t="s">
        <v>334</v>
      </c>
      <c r="C153" s="4" t="s">
        <v>45</v>
      </c>
      <c r="D153" s="4"/>
      <c r="E153" s="4"/>
      <c r="F153" s="4"/>
      <c r="G153" s="4"/>
      <c r="H153" s="4"/>
      <c r="I153" s="4" t="str">
        <f t="shared" si="6"/>
        <v>Текущий статус</v>
      </c>
      <c r="J153" s="4" t="s">
        <v>45</v>
      </c>
      <c r="K153" s="5"/>
      <c r="L153" s="5"/>
      <c r="M153" s="5" t="s">
        <v>78</v>
      </c>
      <c r="N153" s="5" t="s">
        <v>79</v>
      </c>
      <c r="O153" s="6" t="s">
        <v>81</v>
      </c>
      <c r="P153" s="31"/>
      <c r="Q153" s="6"/>
      <c r="R153" s="5"/>
      <c r="S153" s="14"/>
      <c r="T153" s="14"/>
    </row>
    <row r="154" spans="1:20" ht="28.2" customHeight="1">
      <c r="A154" s="56">
        <v>150</v>
      </c>
      <c r="B154" s="2" t="s">
        <v>335</v>
      </c>
      <c r="C154" s="9"/>
      <c r="D154" s="9" t="s">
        <v>351</v>
      </c>
      <c r="E154" s="9"/>
      <c r="F154" s="9"/>
      <c r="G154" s="9"/>
      <c r="H154" s="9"/>
      <c r="I154" s="9" t="str">
        <f t="shared" si="6"/>
        <v>Текущее состояние - статус проекта
(для проектов на стадии реализации необходимо выбрать из списка.
для реализованных проектов необходимо конкретизировать проведенные работы по проекту за квартал текущего года;
в случае простоя либо планируемого исключения проекта из ЕКИ подробно расписать причины)</v>
      </c>
      <c r="J154" s="9" t="s">
        <v>126</v>
      </c>
      <c r="K154" s="10" t="s">
        <v>71</v>
      </c>
      <c r="L154" s="10" t="s">
        <v>76</v>
      </c>
      <c r="M154" s="10" t="s">
        <v>77</v>
      </c>
      <c r="N154" s="10" t="s">
        <v>79</v>
      </c>
      <c r="O154" s="12" t="s">
        <v>81</v>
      </c>
      <c r="P154" s="36" t="s">
        <v>312</v>
      </c>
      <c r="Q154" s="12" t="s">
        <v>86</v>
      </c>
      <c r="R154" s="10" t="s">
        <v>84</v>
      </c>
      <c r="S154" s="14"/>
      <c r="T154" s="14"/>
    </row>
    <row r="155" spans="1:20" ht="28.2" customHeight="1">
      <c r="A155" s="56">
        <v>151</v>
      </c>
      <c r="B155" s="2" t="s">
        <v>336</v>
      </c>
      <c r="C155" s="9"/>
      <c r="D155" s="9" t="s">
        <v>352</v>
      </c>
      <c r="E155" s="9"/>
      <c r="F155" s="9"/>
      <c r="G155" s="9"/>
      <c r="H155" s="9"/>
      <c r="I155" s="9" t="str">
        <f t="shared" si="6"/>
        <v>Проблемные вопросы: (подробное описание текущей проблемы, а также ответственного государственного органа отвечающего за ее решение)</v>
      </c>
      <c r="J155" s="9" t="s">
        <v>127</v>
      </c>
      <c r="K155" s="10" t="s">
        <v>71</v>
      </c>
      <c r="L155" s="10" t="s">
        <v>76</v>
      </c>
      <c r="M155" s="10" t="s">
        <v>77</v>
      </c>
      <c r="N155" s="10" t="s">
        <v>79</v>
      </c>
      <c r="O155" s="12" t="s">
        <v>81</v>
      </c>
      <c r="P155" s="36" t="s">
        <v>313</v>
      </c>
      <c r="Q155" s="12" t="s">
        <v>86</v>
      </c>
      <c r="R155" s="10" t="s">
        <v>84</v>
      </c>
      <c r="S155" s="14"/>
      <c r="T155" s="14"/>
    </row>
    <row r="156" spans="1:20" ht="28.2" customHeight="1">
      <c r="A156" s="56">
        <v>152</v>
      </c>
      <c r="B156" s="2" t="s">
        <v>337</v>
      </c>
      <c r="C156" s="9"/>
      <c r="D156" s="9" t="s">
        <v>46</v>
      </c>
      <c r="E156" s="9"/>
      <c r="F156" s="9"/>
      <c r="G156" s="9"/>
      <c r="H156" s="9"/>
      <c r="I156" s="9" t="str">
        <f t="shared" si="6"/>
        <v>ФИО и номер телефона ответ. сотрудника ДО/ДЗО по проекту</v>
      </c>
      <c r="J156" s="9" t="s">
        <v>46</v>
      </c>
      <c r="K156" s="10" t="s">
        <v>71</v>
      </c>
      <c r="L156" s="10" t="s">
        <v>74</v>
      </c>
      <c r="M156" s="10" t="s">
        <v>77</v>
      </c>
      <c r="N156" s="10" t="s">
        <v>79</v>
      </c>
      <c r="O156" s="12" t="s">
        <v>81</v>
      </c>
      <c r="P156" s="31"/>
      <c r="Q156" s="12" t="s">
        <v>86</v>
      </c>
      <c r="R156" s="10" t="s">
        <v>84</v>
      </c>
      <c r="S156" s="14"/>
      <c r="T156" s="14"/>
    </row>
  </sheetData>
  <mergeCells count="17">
    <mergeCell ref="A2:A3"/>
    <mergeCell ref="B2:B3"/>
    <mergeCell ref="E2:E3"/>
    <mergeCell ref="M2:M3"/>
    <mergeCell ref="N2:N3"/>
    <mergeCell ref="L2:L3"/>
    <mergeCell ref="C2:C3"/>
    <mergeCell ref="D2:D3"/>
    <mergeCell ref="F2:F3"/>
    <mergeCell ref="G2:G3"/>
    <mergeCell ref="I2:I3"/>
    <mergeCell ref="J2:J3"/>
    <mergeCell ref="H2:H3"/>
    <mergeCell ref="Q2:T2"/>
    <mergeCell ref="O2:O3"/>
    <mergeCell ref="P2:P3"/>
    <mergeCell ref="K2:K3"/>
  </mergeCells>
  <dataValidations count="2">
    <dataValidation type="list" allowBlank="1" showInputMessage="1" showErrorMessage="1" sqref="G51:H51" xr:uid="{29E0DDCE-92B8-4F2C-A538-1687FD8259EF}">
      <formula1>INDIRECT(#REF!)</formula1>
    </dataValidation>
    <dataValidation type="list" allowBlank="1" showInputMessage="1" showErrorMessage="1" sqref="O9:O88 M9:N11 R91:T124 R126:T129 R136:T137 R140:T140 R142:T143 R148:T149 R151:T156 R90 R125 R130 R138:R139 R141 S145:T146 R144:R147 R150 Q57:T88 L9:L49 N53 M57:N58 M55:N55 M19:N19 M52:M53 M14 M65:N69 M21:N48 M76:N88 L55:L59 L53 L61:N62 K9:K1048576 L126:O129 L132:O133 L135:O137 L139:O140 L145:O146 L142:O143 L148:O149 L151:O156 L91:O124 L64:L88 Q90:Q130 Q132:T133 Q136:Q156 K1:K3 Q5:R6 S5:T55 Q7:Q55 K5:O8 R7:R56" xr:uid="{A4EAC80E-37B5-4FAF-9FDC-CFF09C7A1F2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9FB2D-E2E4-4524-B970-69D864EFAAB7}">
  <sheetPr codeName="Лист3"/>
  <dimension ref="A1:AK102"/>
  <sheetViews>
    <sheetView tabSelected="1" zoomScale="85" zoomScaleNormal="85" workbookViewId="0">
      <selection activeCell="G6" sqref="G6"/>
    </sheetView>
  </sheetViews>
  <sheetFormatPr defaultColWidth="93.3046875" defaultRowHeight="11.6" zeroHeight="1"/>
  <cols>
    <col min="1" max="1" width="11.53515625" style="47" bestFit="1" customWidth="1"/>
    <col min="2" max="2" width="13.3046875" style="48" bestFit="1" customWidth="1"/>
    <col min="3" max="3" width="13.3046875" style="48" customWidth="1"/>
    <col min="4" max="5" width="31" style="49" customWidth="1"/>
    <col min="6" max="6" width="19.69140625" style="48" bestFit="1" customWidth="1"/>
    <col min="7" max="7" width="11.84375" style="50" bestFit="1" customWidth="1"/>
    <col min="8" max="8" width="13.3046875" style="48" customWidth="1"/>
    <col min="9" max="9" width="12.3828125" style="48" customWidth="1"/>
    <col min="10" max="10" width="14.69140625" style="48" customWidth="1"/>
    <col min="11" max="11" width="13.3046875" style="50" bestFit="1" customWidth="1"/>
    <col min="12" max="12" width="25.3046875" style="48" customWidth="1"/>
    <col min="13" max="13" width="24.3828125" style="48" bestFit="1" customWidth="1"/>
    <col min="14" max="15" width="12.3828125" style="48" customWidth="1"/>
    <col min="16" max="16" width="16.69140625" style="48" bestFit="1" customWidth="1"/>
    <col min="17" max="17" width="27.69140625" style="48" bestFit="1" customWidth="1"/>
    <col min="18" max="19" width="13.69140625" style="48" customWidth="1"/>
    <col min="20" max="20" width="22.15234375" style="48" customWidth="1"/>
    <col min="21" max="21" width="25.3828125" style="48" bestFit="1" customWidth="1"/>
    <col min="22" max="22" width="18.53515625" style="48" bestFit="1" customWidth="1"/>
    <col min="23" max="23" width="39.84375" style="48" customWidth="1"/>
    <col min="24" max="24" width="51.69140625" style="49" bestFit="1" customWidth="1"/>
    <col min="25" max="25" width="26.69140625" style="49" customWidth="1"/>
    <col min="26" max="26" width="15.69140625" style="49" bestFit="1" customWidth="1"/>
    <col min="27" max="27" width="31" style="49" customWidth="1"/>
    <col min="28" max="28" width="18.15234375" style="49" customWidth="1"/>
    <col min="29" max="29" width="15" style="48" bestFit="1" customWidth="1"/>
    <col min="30" max="30" width="12.84375" style="49" customWidth="1"/>
    <col min="31" max="31" width="32.3046875" style="49" customWidth="1"/>
    <col min="32" max="32" width="14.53515625" style="48" bestFit="1" customWidth="1"/>
    <col min="33" max="33" width="17.3828125" style="47" customWidth="1"/>
    <col min="34" max="34" width="13.3046875" style="47" customWidth="1"/>
    <col min="35" max="35" width="90" style="48" bestFit="1" customWidth="1"/>
    <col min="36" max="36" width="44" style="48" bestFit="1" customWidth="1"/>
    <col min="37" max="37" width="19.69140625" style="48" bestFit="1" customWidth="1"/>
    <col min="38" max="16384" width="93.3046875" style="51"/>
  </cols>
  <sheetData>
    <row r="1" spans="1:37" s="40" customFormat="1" ht="18.75" customHeight="1">
      <c r="A1" s="106" t="s">
        <v>369</v>
      </c>
      <c r="B1" s="106"/>
      <c r="C1" s="106"/>
      <c r="D1" s="106"/>
      <c r="E1" s="106"/>
      <c r="F1" s="106"/>
      <c r="G1" s="106"/>
      <c r="H1" s="106"/>
      <c r="I1" s="129"/>
      <c r="J1" s="132" t="s">
        <v>354</v>
      </c>
      <c r="K1" s="106"/>
      <c r="L1" s="106"/>
      <c r="M1" s="106"/>
      <c r="N1" s="106"/>
      <c r="O1" s="129"/>
      <c r="P1" s="107" t="s">
        <v>356</v>
      </c>
      <c r="Q1" s="133"/>
      <c r="R1" s="108"/>
      <c r="S1" s="108"/>
      <c r="T1" s="133"/>
      <c r="U1" s="133"/>
      <c r="V1" s="133"/>
      <c r="W1" s="134"/>
      <c r="X1" s="107" t="s">
        <v>359</v>
      </c>
      <c r="Y1" s="108"/>
      <c r="Z1" s="108"/>
      <c r="AA1" s="108"/>
      <c r="AB1" s="108"/>
      <c r="AC1" s="108"/>
      <c r="AD1" s="116" t="s">
        <v>364</v>
      </c>
      <c r="AE1" s="111" t="s">
        <v>365</v>
      </c>
      <c r="AF1" s="109"/>
      <c r="AG1" s="106"/>
      <c r="AH1" s="46"/>
      <c r="AI1" s="106" t="s">
        <v>368</v>
      </c>
      <c r="AJ1" s="106"/>
      <c r="AK1" s="106"/>
    </row>
    <row r="2" spans="1:37" s="40" customFormat="1" ht="38.25" customHeight="1">
      <c r="A2" s="106"/>
      <c r="B2" s="106"/>
      <c r="C2" s="106"/>
      <c r="D2" s="106"/>
      <c r="E2" s="106"/>
      <c r="F2" s="106"/>
      <c r="G2" s="106"/>
      <c r="H2" s="106"/>
      <c r="I2" s="129"/>
      <c r="J2" s="130"/>
      <c r="K2" s="131"/>
      <c r="L2" s="131"/>
      <c r="M2" s="131"/>
      <c r="N2" s="106" t="s">
        <v>355</v>
      </c>
      <c r="O2" s="129"/>
      <c r="P2" s="121"/>
      <c r="Q2" s="123"/>
      <c r="R2" s="106" t="s">
        <v>357</v>
      </c>
      <c r="S2" s="106"/>
      <c r="T2" s="123"/>
      <c r="U2" s="123"/>
      <c r="V2" s="123"/>
      <c r="W2" s="135" t="s">
        <v>358</v>
      </c>
      <c r="X2" s="121"/>
      <c r="Y2" s="109" t="s">
        <v>360</v>
      </c>
      <c r="Z2" s="109" t="s">
        <v>361</v>
      </c>
      <c r="AA2" s="109"/>
      <c r="AB2" s="106"/>
      <c r="AC2" s="106"/>
      <c r="AD2" s="117"/>
      <c r="AE2" s="112"/>
      <c r="AF2" s="113"/>
      <c r="AG2" s="126" t="s">
        <v>366</v>
      </c>
      <c r="AH2" s="104" t="s">
        <v>367</v>
      </c>
      <c r="AI2" s="106"/>
      <c r="AJ2" s="106"/>
      <c r="AK2" s="106"/>
    </row>
    <row r="3" spans="1:37" s="40" customFormat="1" ht="38.25" customHeight="1">
      <c r="A3" s="106"/>
      <c r="B3" s="106"/>
      <c r="C3" s="106"/>
      <c r="D3" s="106"/>
      <c r="E3" s="106"/>
      <c r="F3" s="106"/>
      <c r="G3" s="106"/>
      <c r="H3" s="106"/>
      <c r="I3" s="129"/>
      <c r="J3" s="130"/>
      <c r="K3" s="131"/>
      <c r="L3" s="131"/>
      <c r="M3" s="131"/>
      <c r="N3" s="106"/>
      <c r="O3" s="129"/>
      <c r="P3" s="122"/>
      <c r="Q3" s="124"/>
      <c r="R3" s="106"/>
      <c r="S3" s="106"/>
      <c r="T3" s="124"/>
      <c r="U3" s="124"/>
      <c r="V3" s="124"/>
      <c r="W3" s="136"/>
      <c r="X3" s="122"/>
      <c r="Y3" s="119"/>
      <c r="Z3" s="123"/>
      <c r="AA3" s="123"/>
      <c r="AB3" s="125" t="s">
        <v>362</v>
      </c>
      <c r="AC3" s="110" t="s">
        <v>363</v>
      </c>
      <c r="AD3" s="117"/>
      <c r="AE3" s="114"/>
      <c r="AF3" s="115"/>
      <c r="AG3" s="127"/>
      <c r="AH3" s="104"/>
      <c r="AI3" s="106"/>
      <c r="AJ3" s="106"/>
      <c r="AK3" s="106"/>
    </row>
    <row r="4" spans="1:37" s="40" customFormat="1" ht="38.25" customHeight="1">
      <c r="A4" s="106"/>
      <c r="B4" s="106"/>
      <c r="C4" s="106"/>
      <c r="D4" s="106"/>
      <c r="E4" s="106"/>
      <c r="F4" s="106"/>
      <c r="G4" s="106"/>
      <c r="H4" s="106"/>
      <c r="I4" s="129"/>
      <c r="J4" s="130"/>
      <c r="K4" s="131"/>
      <c r="L4" s="131"/>
      <c r="M4" s="131"/>
      <c r="N4" s="106"/>
      <c r="O4" s="129"/>
      <c r="P4" s="122"/>
      <c r="Q4" s="124"/>
      <c r="R4" s="106"/>
      <c r="S4" s="106"/>
      <c r="T4" s="124"/>
      <c r="U4" s="124"/>
      <c r="V4" s="124"/>
      <c r="W4" s="136"/>
      <c r="X4" s="122"/>
      <c r="Y4" s="119"/>
      <c r="Z4" s="124"/>
      <c r="AA4" s="124"/>
      <c r="AB4" s="125"/>
      <c r="AC4" s="110"/>
      <c r="AD4" s="117"/>
      <c r="AE4" s="114"/>
      <c r="AF4" s="115"/>
      <c r="AG4" s="127"/>
      <c r="AH4" s="104"/>
      <c r="AI4" s="106"/>
      <c r="AJ4" s="106"/>
      <c r="AK4" s="106"/>
    </row>
    <row r="5" spans="1:37" s="40" customFormat="1" ht="12" customHeight="1">
      <c r="A5" s="106"/>
      <c r="B5" s="106"/>
      <c r="C5" s="106"/>
      <c r="D5" s="106"/>
      <c r="E5" s="106"/>
      <c r="F5" s="106"/>
      <c r="G5" s="106"/>
      <c r="H5" s="106"/>
      <c r="I5" s="129"/>
      <c r="J5" s="130"/>
      <c r="K5" s="131"/>
      <c r="L5" s="131"/>
      <c r="M5" s="131"/>
      <c r="N5" s="106"/>
      <c r="O5" s="129"/>
      <c r="P5" s="122"/>
      <c r="Q5" s="124"/>
      <c r="R5" s="106"/>
      <c r="S5" s="106"/>
      <c r="T5" s="124"/>
      <c r="U5" s="124"/>
      <c r="V5" s="124"/>
      <c r="W5" s="136"/>
      <c r="X5" s="122"/>
      <c r="Y5" s="119"/>
      <c r="Z5" s="124"/>
      <c r="AA5" s="124"/>
      <c r="AB5" s="125"/>
      <c r="AC5" s="110"/>
      <c r="AD5" s="117"/>
      <c r="AE5" s="114"/>
      <c r="AF5" s="115"/>
      <c r="AG5" s="127"/>
      <c r="AH5" s="104"/>
      <c r="AI5" s="106"/>
      <c r="AJ5" s="106"/>
      <c r="AK5" s="106"/>
    </row>
    <row r="6" spans="1:37" s="41" customFormat="1" ht="96.75" customHeight="1">
      <c r="A6" s="64" t="s">
        <v>88</v>
      </c>
      <c r="B6" s="64" t="s">
        <v>89</v>
      </c>
      <c r="C6" s="64" t="s">
        <v>386</v>
      </c>
      <c r="D6" s="64" t="s">
        <v>387</v>
      </c>
      <c r="E6" s="64" t="s">
        <v>388</v>
      </c>
      <c r="F6" s="64" t="s">
        <v>373</v>
      </c>
      <c r="G6" s="65" t="s">
        <v>91</v>
      </c>
      <c r="H6" s="65" t="s">
        <v>374</v>
      </c>
      <c r="I6" s="66" t="s">
        <v>375</v>
      </c>
      <c r="J6" s="67" t="s">
        <v>129</v>
      </c>
      <c r="K6" s="65" t="s">
        <v>130</v>
      </c>
      <c r="L6" s="65" t="s">
        <v>376</v>
      </c>
      <c r="M6" s="65" t="s">
        <v>377</v>
      </c>
      <c r="N6" s="65" t="s">
        <v>102</v>
      </c>
      <c r="O6" s="68" t="s">
        <v>5</v>
      </c>
      <c r="P6" s="67" t="s">
        <v>133</v>
      </c>
      <c r="Q6" s="65" t="s">
        <v>378</v>
      </c>
      <c r="R6" s="65" t="s">
        <v>379</v>
      </c>
      <c r="S6" s="65" t="s">
        <v>380</v>
      </c>
      <c r="T6" s="65" t="s">
        <v>381</v>
      </c>
      <c r="U6" s="65" t="s">
        <v>382</v>
      </c>
      <c r="V6" s="65" t="s">
        <v>383</v>
      </c>
      <c r="W6" s="137"/>
      <c r="X6" s="67" t="s">
        <v>103</v>
      </c>
      <c r="Y6" s="120"/>
      <c r="Z6" s="65" t="s">
        <v>347</v>
      </c>
      <c r="AA6" s="65" t="s">
        <v>141</v>
      </c>
      <c r="AB6" s="125"/>
      <c r="AC6" s="110"/>
      <c r="AD6" s="118"/>
      <c r="AE6" s="67" t="s">
        <v>62</v>
      </c>
      <c r="AF6" s="65" t="s">
        <v>29</v>
      </c>
      <c r="AG6" s="128"/>
      <c r="AH6" s="105"/>
      <c r="AI6" s="69" t="s">
        <v>385</v>
      </c>
      <c r="AJ6" s="65" t="s">
        <v>384</v>
      </c>
      <c r="AK6" s="65" t="s">
        <v>46</v>
      </c>
    </row>
    <row r="7" spans="1:37" s="42" customFormat="1" ht="15" customHeight="1">
      <c r="A7" s="43">
        <v>1</v>
      </c>
      <c r="B7" s="43">
        <v>2</v>
      </c>
      <c r="C7" s="43">
        <v>3</v>
      </c>
      <c r="D7" s="43">
        <v>4</v>
      </c>
      <c r="E7" s="43">
        <v>5</v>
      </c>
      <c r="F7" s="43">
        <v>6</v>
      </c>
      <c r="G7" s="43">
        <v>7</v>
      </c>
      <c r="H7" s="43">
        <v>8</v>
      </c>
      <c r="I7" s="43">
        <v>9</v>
      </c>
      <c r="J7" s="43">
        <v>10</v>
      </c>
      <c r="K7" s="43">
        <v>11</v>
      </c>
      <c r="L7" s="43">
        <v>12</v>
      </c>
      <c r="M7" s="43">
        <v>13</v>
      </c>
      <c r="N7" s="43">
        <v>14</v>
      </c>
      <c r="O7" s="43">
        <v>15</v>
      </c>
      <c r="P7" s="43">
        <v>16</v>
      </c>
      <c r="Q7" s="43">
        <v>17</v>
      </c>
      <c r="R7" s="43">
        <v>18</v>
      </c>
      <c r="S7" s="43">
        <v>19</v>
      </c>
      <c r="T7" s="43">
        <v>20</v>
      </c>
      <c r="U7" s="43">
        <v>21</v>
      </c>
      <c r="V7" s="43">
        <v>22</v>
      </c>
      <c r="W7" s="43">
        <v>23</v>
      </c>
      <c r="X7" s="43">
        <v>24</v>
      </c>
      <c r="Y7" s="43">
        <v>25</v>
      </c>
      <c r="Z7" s="43">
        <v>26</v>
      </c>
      <c r="AA7" s="43">
        <v>27</v>
      </c>
      <c r="AB7" s="43">
        <v>28</v>
      </c>
      <c r="AC7" s="43">
        <v>29</v>
      </c>
      <c r="AD7" s="43">
        <v>30</v>
      </c>
      <c r="AE7" s="43">
        <v>31</v>
      </c>
      <c r="AF7" s="43">
        <v>32</v>
      </c>
      <c r="AG7" s="43">
        <v>33</v>
      </c>
      <c r="AH7" s="43">
        <v>34</v>
      </c>
      <c r="AI7" s="43">
        <v>35</v>
      </c>
      <c r="AJ7" s="43">
        <v>36</v>
      </c>
      <c r="AK7" s="43">
        <v>37</v>
      </c>
    </row>
    <row r="8" spans="1:37" s="42" customFormat="1" ht="15" customHeight="1">
      <c r="A8" s="43" t="s">
        <v>152</v>
      </c>
      <c r="B8" s="43" t="s">
        <v>153</v>
      </c>
      <c r="C8" s="43" t="s">
        <v>389</v>
      </c>
      <c r="D8" s="43" t="s">
        <v>154</v>
      </c>
      <c r="E8" s="43" t="s">
        <v>390</v>
      </c>
      <c r="F8" s="43" t="s">
        <v>155</v>
      </c>
      <c r="G8" s="43" t="s">
        <v>156</v>
      </c>
      <c r="H8" s="43" t="s">
        <v>157</v>
      </c>
      <c r="I8" s="43" t="s">
        <v>341</v>
      </c>
      <c r="J8" s="43" t="s">
        <v>159</v>
      </c>
      <c r="K8" s="43" t="s">
        <v>160</v>
      </c>
      <c r="L8" s="43" t="s">
        <v>161</v>
      </c>
      <c r="M8" s="43" t="s">
        <v>162</v>
      </c>
      <c r="N8" s="43" t="s">
        <v>164</v>
      </c>
      <c r="O8" s="43" t="s">
        <v>165</v>
      </c>
      <c r="P8" s="43" t="s">
        <v>167</v>
      </c>
      <c r="Q8" s="43" t="s">
        <v>168</v>
      </c>
      <c r="R8" s="43" t="s">
        <v>170</v>
      </c>
      <c r="S8" s="43" t="s">
        <v>171</v>
      </c>
      <c r="T8" s="43" t="s">
        <v>172</v>
      </c>
      <c r="U8" s="43" t="s">
        <v>173</v>
      </c>
      <c r="V8" s="43" t="s">
        <v>174</v>
      </c>
      <c r="W8" s="43" t="s">
        <v>175</v>
      </c>
      <c r="X8" s="43" t="s">
        <v>185</v>
      </c>
      <c r="Y8" s="43" t="s">
        <v>186</v>
      </c>
      <c r="Z8" s="43" t="s">
        <v>190</v>
      </c>
      <c r="AA8" s="43" t="s">
        <v>191</v>
      </c>
      <c r="AB8" s="43" t="s">
        <v>192</v>
      </c>
      <c r="AC8" s="44" t="s">
        <v>213</v>
      </c>
      <c r="AD8" s="44" t="s">
        <v>222</v>
      </c>
      <c r="AE8" s="43" t="s">
        <v>260</v>
      </c>
      <c r="AF8" s="43" t="s">
        <v>261</v>
      </c>
      <c r="AG8" s="43" t="s">
        <v>262</v>
      </c>
      <c r="AH8" s="43" t="s">
        <v>267</v>
      </c>
      <c r="AI8" s="43" t="s">
        <v>335</v>
      </c>
      <c r="AJ8" s="43" t="s">
        <v>336</v>
      </c>
      <c r="AK8" s="43" t="s">
        <v>337</v>
      </c>
    </row>
    <row r="9" spans="1:37" s="42" customFormat="1" ht="15" customHeight="1">
      <c r="A9" s="70"/>
      <c r="B9" s="70"/>
      <c r="C9" s="70"/>
      <c r="D9" s="70"/>
      <c r="E9" s="70"/>
      <c r="F9" s="71" t="s">
        <v>297</v>
      </c>
      <c r="G9" s="70"/>
      <c r="H9" s="71" t="s">
        <v>318</v>
      </c>
      <c r="I9" s="72" t="s">
        <v>339</v>
      </c>
      <c r="J9" s="73"/>
      <c r="K9" s="70"/>
      <c r="L9" s="74" t="s">
        <v>298</v>
      </c>
      <c r="M9" s="74" t="s">
        <v>299</v>
      </c>
      <c r="N9" s="70"/>
      <c r="O9" s="75"/>
      <c r="P9" s="73"/>
      <c r="Q9" s="74" t="s">
        <v>300</v>
      </c>
      <c r="R9" s="74" t="s">
        <v>301</v>
      </c>
      <c r="S9" s="74" t="s">
        <v>301</v>
      </c>
      <c r="T9" s="74" t="s">
        <v>302</v>
      </c>
      <c r="U9" s="74" t="s">
        <v>302</v>
      </c>
      <c r="V9" s="74" t="s">
        <v>303</v>
      </c>
      <c r="W9" s="76" t="s">
        <v>323</v>
      </c>
      <c r="X9" s="77"/>
      <c r="Y9" s="70"/>
      <c r="Z9" s="78"/>
      <c r="AA9" s="78"/>
      <c r="AB9" s="95" t="s">
        <v>304</v>
      </c>
      <c r="AC9" s="96" t="s">
        <v>307</v>
      </c>
      <c r="AD9" s="79"/>
      <c r="AE9" s="77"/>
      <c r="AF9" s="70"/>
      <c r="AG9" s="78"/>
      <c r="AH9" s="73"/>
      <c r="AI9" s="80" t="s">
        <v>312</v>
      </c>
      <c r="AJ9" s="81" t="s">
        <v>313</v>
      </c>
      <c r="AK9" s="70"/>
    </row>
    <row r="10" spans="1:37" s="39" customFormat="1" ht="15" customHeight="1">
      <c r="A10" s="82">
        <v>43831</v>
      </c>
      <c r="B10" s="83"/>
      <c r="C10" s="83"/>
      <c r="D10" s="84" t="s">
        <v>370</v>
      </c>
      <c r="E10" s="84"/>
      <c r="F10" s="85"/>
      <c r="G10" s="86"/>
      <c r="H10" s="85"/>
      <c r="I10" s="85"/>
      <c r="J10" s="85"/>
      <c r="K10" s="83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7"/>
      <c r="Y10" s="88"/>
      <c r="Z10" s="87"/>
      <c r="AA10" s="87"/>
      <c r="AB10" s="97"/>
      <c r="AC10" s="99"/>
      <c r="AD10" s="82"/>
      <c r="AE10" s="87"/>
      <c r="AF10" s="85"/>
      <c r="AG10" s="82">
        <v>43831</v>
      </c>
      <c r="AH10" s="82">
        <v>43831</v>
      </c>
      <c r="AI10" s="85"/>
      <c r="AJ10" s="85"/>
      <c r="AK10" s="85"/>
    </row>
    <row r="11" spans="1:37" s="39" customFormat="1" ht="15" customHeight="1">
      <c r="A11" s="89">
        <v>47820</v>
      </c>
      <c r="B11" s="90"/>
      <c r="C11" s="90"/>
      <c r="D11" s="91" t="s">
        <v>371</v>
      </c>
      <c r="E11" s="91"/>
      <c r="F11" s="90"/>
      <c r="G11" s="92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3"/>
      <c r="Y11" s="94"/>
      <c r="Z11" s="93"/>
      <c r="AA11" s="93"/>
      <c r="AB11" s="98"/>
      <c r="AC11" s="100"/>
      <c r="AD11" s="89"/>
      <c r="AE11" s="93"/>
      <c r="AF11" s="90"/>
      <c r="AG11" s="89">
        <v>47820</v>
      </c>
      <c r="AH11" s="89">
        <v>47820</v>
      </c>
      <c r="AI11" s="90"/>
      <c r="AJ11" s="90"/>
      <c r="AK11" s="90"/>
    </row>
    <row r="12" spans="1:37" s="39" customFormat="1" ht="15" customHeight="1">
      <c r="A12" s="89"/>
      <c r="B12" s="90"/>
      <c r="C12" s="90"/>
      <c r="D12" s="91" t="s">
        <v>372</v>
      </c>
      <c r="E12" s="91"/>
      <c r="F12" s="90"/>
      <c r="G12" s="92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3"/>
      <c r="Y12" s="94"/>
      <c r="Z12" s="93"/>
      <c r="AA12" s="93"/>
      <c r="AB12" s="98"/>
      <c r="AC12" s="100"/>
      <c r="AD12" s="89"/>
      <c r="AE12" s="93"/>
      <c r="AF12" s="90"/>
      <c r="AG12" s="89"/>
      <c r="AH12" s="89"/>
      <c r="AI12" s="90"/>
      <c r="AJ12" s="90"/>
      <c r="AK12" s="90"/>
    </row>
    <row r="13" spans="1:37" s="39" customFormat="1" ht="15" customHeight="1">
      <c r="A13" s="89"/>
      <c r="B13" s="90"/>
      <c r="C13" s="90"/>
      <c r="D13" s="91"/>
      <c r="E13" s="91"/>
      <c r="F13" s="90"/>
      <c r="G13" s="92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3"/>
      <c r="Y13" s="94"/>
      <c r="Z13" s="93"/>
      <c r="AA13" s="93"/>
      <c r="AB13" s="98"/>
      <c r="AC13" s="100"/>
      <c r="AD13" s="89"/>
      <c r="AE13" s="93"/>
      <c r="AF13" s="90"/>
      <c r="AG13" s="89"/>
      <c r="AH13" s="89"/>
      <c r="AI13" s="90"/>
      <c r="AJ13" s="90"/>
      <c r="AK13" s="90"/>
    </row>
    <row r="14" spans="1:37" s="39" customFormat="1" ht="15" customHeight="1">
      <c r="A14" s="89"/>
      <c r="B14" s="90"/>
      <c r="C14" s="90"/>
      <c r="D14" s="91"/>
      <c r="E14" s="91"/>
      <c r="F14" s="90"/>
      <c r="G14" s="92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3"/>
      <c r="Y14" s="94"/>
      <c r="Z14" s="93"/>
      <c r="AA14" s="93"/>
      <c r="AB14" s="98"/>
      <c r="AC14" s="100"/>
      <c r="AD14" s="89"/>
      <c r="AE14" s="93"/>
      <c r="AF14" s="90"/>
      <c r="AG14" s="89"/>
      <c r="AH14" s="89"/>
      <c r="AI14" s="90"/>
      <c r="AJ14" s="90"/>
      <c r="AK14" s="90"/>
    </row>
    <row r="15" spans="1:37" s="39" customFormat="1" ht="15" customHeight="1">
      <c r="A15" s="89"/>
      <c r="B15" s="90"/>
      <c r="C15" s="90"/>
      <c r="D15" s="91"/>
      <c r="E15" s="91"/>
      <c r="F15" s="90"/>
      <c r="G15" s="92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3"/>
      <c r="Y15" s="94"/>
      <c r="Z15" s="93"/>
      <c r="AA15" s="93"/>
      <c r="AB15" s="98"/>
      <c r="AC15" s="100"/>
      <c r="AD15" s="89"/>
      <c r="AE15" s="93"/>
      <c r="AF15" s="90"/>
      <c r="AG15" s="89"/>
      <c r="AH15" s="89"/>
      <c r="AI15" s="90"/>
      <c r="AJ15" s="90"/>
      <c r="AK15" s="90"/>
    </row>
    <row r="16" spans="1:37" s="39" customFormat="1" ht="15" customHeight="1">
      <c r="A16" s="89"/>
      <c r="B16" s="90"/>
      <c r="C16" s="90"/>
      <c r="D16" s="91"/>
      <c r="E16" s="91"/>
      <c r="F16" s="90"/>
      <c r="G16" s="92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3"/>
      <c r="Y16" s="94"/>
      <c r="Z16" s="93"/>
      <c r="AA16" s="93"/>
      <c r="AB16" s="98"/>
      <c r="AC16" s="100"/>
      <c r="AD16" s="89"/>
      <c r="AE16" s="93"/>
      <c r="AF16" s="90"/>
      <c r="AG16" s="89"/>
      <c r="AH16" s="89"/>
      <c r="AI16" s="90"/>
      <c r="AJ16" s="90"/>
      <c r="AK16" s="90"/>
    </row>
    <row r="17" spans="1:37" s="39" customFormat="1" ht="15" customHeight="1">
      <c r="A17" s="89"/>
      <c r="B17" s="90"/>
      <c r="C17" s="90"/>
      <c r="D17" s="91"/>
      <c r="E17" s="91"/>
      <c r="F17" s="90"/>
      <c r="G17" s="92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3"/>
      <c r="Y17" s="94"/>
      <c r="Z17" s="93"/>
      <c r="AA17" s="93"/>
      <c r="AB17" s="98"/>
      <c r="AC17" s="100"/>
      <c r="AD17" s="89"/>
      <c r="AE17" s="93"/>
      <c r="AF17" s="90"/>
      <c r="AG17" s="89"/>
      <c r="AH17" s="89"/>
      <c r="AI17" s="90"/>
      <c r="AJ17" s="90"/>
      <c r="AK17" s="90"/>
    </row>
    <row r="18" spans="1:37" s="39" customFormat="1" ht="15" customHeight="1">
      <c r="A18" s="89"/>
      <c r="B18" s="90"/>
      <c r="C18" s="90"/>
      <c r="D18" s="91"/>
      <c r="E18" s="91"/>
      <c r="F18" s="90"/>
      <c r="G18" s="92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3"/>
      <c r="Y18" s="94"/>
      <c r="Z18" s="93"/>
      <c r="AA18" s="93"/>
      <c r="AB18" s="98"/>
      <c r="AC18" s="100"/>
      <c r="AD18" s="89"/>
      <c r="AE18" s="93"/>
      <c r="AF18" s="90"/>
      <c r="AG18" s="89"/>
      <c r="AH18" s="89"/>
      <c r="AI18" s="90"/>
      <c r="AJ18" s="90"/>
      <c r="AK18" s="90"/>
    </row>
    <row r="19" spans="1:37" s="39" customFormat="1" ht="15" customHeight="1">
      <c r="A19" s="89"/>
      <c r="B19" s="90"/>
      <c r="C19" s="90"/>
      <c r="D19" s="91"/>
      <c r="E19" s="91"/>
      <c r="F19" s="90"/>
      <c r="G19" s="92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3"/>
      <c r="Y19" s="94"/>
      <c r="Z19" s="93"/>
      <c r="AA19" s="93"/>
      <c r="AB19" s="98"/>
      <c r="AC19" s="100"/>
      <c r="AD19" s="89"/>
      <c r="AE19" s="93"/>
      <c r="AF19" s="90"/>
      <c r="AG19" s="89"/>
      <c r="AH19" s="89"/>
      <c r="AI19" s="90"/>
      <c r="AJ19" s="90"/>
      <c r="AK19" s="90"/>
    </row>
    <row r="20" spans="1:37" s="39" customFormat="1" ht="15" customHeight="1">
      <c r="A20" s="89"/>
      <c r="B20" s="90"/>
      <c r="C20" s="90"/>
      <c r="D20" s="91"/>
      <c r="E20" s="91"/>
      <c r="F20" s="90"/>
      <c r="G20" s="92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3"/>
      <c r="Y20" s="94"/>
      <c r="Z20" s="93"/>
      <c r="AA20" s="93"/>
      <c r="AB20" s="98"/>
      <c r="AC20" s="100"/>
      <c r="AD20" s="89"/>
      <c r="AE20" s="93"/>
      <c r="AF20" s="90"/>
      <c r="AG20" s="89"/>
      <c r="AH20" s="89"/>
      <c r="AI20" s="90"/>
      <c r="AJ20" s="90"/>
      <c r="AK20" s="90"/>
    </row>
    <row r="21" spans="1:37" s="39" customFormat="1" ht="15" customHeight="1">
      <c r="A21" s="89"/>
      <c r="B21" s="90"/>
      <c r="C21" s="90"/>
      <c r="D21" s="91"/>
      <c r="E21" s="91"/>
      <c r="F21" s="90"/>
      <c r="G21" s="92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3"/>
      <c r="Y21" s="94"/>
      <c r="Z21" s="93"/>
      <c r="AA21" s="93"/>
      <c r="AB21" s="98"/>
      <c r="AC21" s="100"/>
      <c r="AD21" s="89"/>
      <c r="AE21" s="93"/>
      <c r="AF21" s="90"/>
      <c r="AG21" s="89"/>
      <c r="AH21" s="89"/>
      <c r="AI21" s="90"/>
      <c r="AJ21" s="90"/>
      <c r="AK21" s="90"/>
    </row>
    <row r="22" spans="1:37" s="39" customFormat="1" ht="15" customHeight="1">
      <c r="A22" s="89"/>
      <c r="B22" s="90"/>
      <c r="C22" s="90"/>
      <c r="D22" s="91"/>
      <c r="E22" s="91"/>
      <c r="F22" s="90"/>
      <c r="G22" s="92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3"/>
      <c r="Y22" s="94"/>
      <c r="Z22" s="93"/>
      <c r="AA22" s="93"/>
      <c r="AB22" s="98"/>
      <c r="AC22" s="100"/>
      <c r="AD22" s="89"/>
      <c r="AE22" s="93"/>
      <c r="AF22" s="90"/>
      <c r="AG22" s="89"/>
      <c r="AH22" s="89"/>
      <c r="AI22" s="90"/>
      <c r="AJ22" s="90"/>
      <c r="AK22" s="90"/>
    </row>
    <row r="23" spans="1:37" s="39" customFormat="1" ht="15" customHeight="1">
      <c r="A23" s="89"/>
      <c r="B23" s="90"/>
      <c r="C23" s="90"/>
      <c r="D23" s="91"/>
      <c r="E23" s="91"/>
      <c r="F23" s="90"/>
      <c r="G23" s="92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3"/>
      <c r="Y23" s="94"/>
      <c r="Z23" s="93"/>
      <c r="AA23" s="93"/>
      <c r="AB23" s="98"/>
      <c r="AC23" s="100"/>
      <c r="AD23" s="89"/>
      <c r="AE23" s="93"/>
      <c r="AF23" s="90"/>
      <c r="AG23" s="89"/>
      <c r="AH23" s="89"/>
      <c r="AI23" s="90"/>
      <c r="AJ23" s="90"/>
      <c r="AK23" s="90"/>
    </row>
    <row r="24" spans="1:37" s="39" customFormat="1" ht="15" customHeight="1">
      <c r="A24" s="89"/>
      <c r="B24" s="90"/>
      <c r="C24" s="90"/>
      <c r="D24" s="91"/>
      <c r="E24" s="91"/>
      <c r="F24" s="90"/>
      <c r="G24" s="92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3"/>
      <c r="Y24" s="94"/>
      <c r="Z24" s="93"/>
      <c r="AA24" s="93"/>
      <c r="AB24" s="98"/>
      <c r="AC24" s="100"/>
      <c r="AD24" s="89"/>
      <c r="AE24" s="93"/>
      <c r="AF24" s="90"/>
      <c r="AG24" s="89"/>
      <c r="AH24" s="89"/>
      <c r="AI24" s="90"/>
      <c r="AJ24" s="90"/>
      <c r="AK24" s="90"/>
    </row>
    <row r="25" spans="1:37" s="39" customFormat="1" ht="15" customHeight="1">
      <c r="A25" s="89"/>
      <c r="B25" s="90"/>
      <c r="C25" s="90"/>
      <c r="D25" s="91"/>
      <c r="E25" s="91"/>
      <c r="F25" s="90"/>
      <c r="G25" s="92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3"/>
      <c r="Y25" s="94"/>
      <c r="Z25" s="93"/>
      <c r="AA25" s="93"/>
      <c r="AB25" s="98"/>
      <c r="AC25" s="100"/>
      <c r="AD25" s="89"/>
      <c r="AE25" s="93"/>
      <c r="AF25" s="90"/>
      <c r="AG25" s="89"/>
      <c r="AH25" s="89"/>
      <c r="AI25" s="90"/>
      <c r="AJ25" s="90"/>
      <c r="AK25" s="90"/>
    </row>
    <row r="26" spans="1:37" s="39" customFormat="1" ht="15" customHeight="1">
      <c r="A26" s="89"/>
      <c r="B26" s="90"/>
      <c r="C26" s="90"/>
      <c r="D26" s="91"/>
      <c r="E26" s="91"/>
      <c r="F26" s="90"/>
      <c r="G26" s="92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3"/>
      <c r="Y26" s="94"/>
      <c r="Z26" s="93"/>
      <c r="AA26" s="93"/>
      <c r="AB26" s="98"/>
      <c r="AC26" s="100"/>
      <c r="AD26" s="89"/>
      <c r="AE26" s="93"/>
      <c r="AF26" s="90"/>
      <c r="AG26" s="89"/>
      <c r="AH26" s="89"/>
      <c r="AI26" s="90"/>
      <c r="AJ26" s="90"/>
      <c r="AK26" s="90"/>
    </row>
    <row r="27" spans="1:37" s="39" customFormat="1" ht="15" customHeight="1">
      <c r="A27" s="89"/>
      <c r="B27" s="90"/>
      <c r="C27" s="90"/>
      <c r="D27" s="91"/>
      <c r="E27" s="91"/>
      <c r="F27" s="90"/>
      <c r="G27" s="92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3"/>
      <c r="Y27" s="94"/>
      <c r="Z27" s="93"/>
      <c r="AA27" s="93"/>
      <c r="AB27" s="98"/>
      <c r="AC27" s="100"/>
      <c r="AD27" s="89"/>
      <c r="AE27" s="93"/>
      <c r="AF27" s="90"/>
      <c r="AG27" s="89"/>
      <c r="AH27" s="89"/>
      <c r="AI27" s="90"/>
      <c r="AJ27" s="90"/>
      <c r="AK27" s="90"/>
    </row>
    <row r="28" spans="1:37" s="39" customFormat="1" ht="15" customHeight="1">
      <c r="A28" s="89"/>
      <c r="B28" s="90"/>
      <c r="C28" s="90"/>
      <c r="D28" s="91"/>
      <c r="E28" s="91"/>
      <c r="F28" s="90"/>
      <c r="G28" s="92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3"/>
      <c r="Y28" s="94"/>
      <c r="Z28" s="93"/>
      <c r="AA28" s="93"/>
      <c r="AB28" s="98"/>
      <c r="AC28" s="100"/>
      <c r="AD28" s="89"/>
      <c r="AE28" s="93"/>
      <c r="AF28" s="90"/>
      <c r="AG28" s="89"/>
      <c r="AH28" s="89"/>
      <c r="AI28" s="90"/>
      <c r="AJ28" s="90"/>
      <c r="AK28" s="90"/>
    </row>
    <row r="29" spans="1:37" s="39" customFormat="1" ht="15" customHeight="1">
      <c r="A29" s="89"/>
      <c r="B29" s="90"/>
      <c r="C29" s="90"/>
      <c r="D29" s="91"/>
      <c r="E29" s="91"/>
      <c r="F29" s="90"/>
      <c r="G29" s="92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3"/>
      <c r="Y29" s="94"/>
      <c r="Z29" s="93"/>
      <c r="AA29" s="93"/>
      <c r="AB29" s="98"/>
      <c r="AC29" s="100"/>
      <c r="AD29" s="89"/>
      <c r="AE29" s="93"/>
      <c r="AF29" s="90"/>
      <c r="AG29" s="89"/>
      <c r="AH29" s="89"/>
      <c r="AI29" s="90"/>
      <c r="AJ29" s="90"/>
      <c r="AK29" s="90"/>
    </row>
    <row r="30" spans="1:37" s="39" customFormat="1" ht="15" customHeight="1">
      <c r="A30" s="89"/>
      <c r="B30" s="90"/>
      <c r="C30" s="90"/>
      <c r="D30" s="91"/>
      <c r="E30" s="91"/>
      <c r="F30" s="90"/>
      <c r="G30" s="92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3"/>
      <c r="Y30" s="94"/>
      <c r="Z30" s="93"/>
      <c r="AA30" s="93"/>
      <c r="AB30" s="98"/>
      <c r="AC30" s="100"/>
      <c r="AD30" s="89"/>
      <c r="AE30" s="93"/>
      <c r="AF30" s="90"/>
      <c r="AG30" s="89"/>
      <c r="AH30" s="89"/>
      <c r="AI30" s="90"/>
      <c r="AJ30" s="90"/>
      <c r="AK30" s="90"/>
    </row>
    <row r="31" spans="1:37" s="39" customFormat="1" ht="15" customHeight="1">
      <c r="A31" s="89"/>
      <c r="B31" s="90"/>
      <c r="C31" s="90"/>
      <c r="D31" s="91"/>
      <c r="E31" s="91"/>
      <c r="F31" s="90"/>
      <c r="G31" s="92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3"/>
      <c r="Y31" s="94"/>
      <c r="Z31" s="93"/>
      <c r="AA31" s="93"/>
      <c r="AB31" s="98"/>
      <c r="AC31" s="100"/>
      <c r="AD31" s="89"/>
      <c r="AE31" s="93"/>
      <c r="AF31" s="90"/>
      <c r="AG31" s="89"/>
      <c r="AH31" s="89"/>
      <c r="AI31" s="90"/>
      <c r="AJ31" s="90"/>
      <c r="AK31" s="90"/>
    </row>
    <row r="32" spans="1:37" s="39" customFormat="1" ht="15" customHeight="1">
      <c r="A32" s="89"/>
      <c r="B32" s="90"/>
      <c r="C32" s="90"/>
      <c r="D32" s="91"/>
      <c r="E32" s="91"/>
      <c r="F32" s="90"/>
      <c r="G32" s="92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3"/>
      <c r="Y32" s="94"/>
      <c r="Z32" s="93"/>
      <c r="AA32" s="93"/>
      <c r="AB32" s="98"/>
      <c r="AC32" s="100"/>
      <c r="AD32" s="89"/>
      <c r="AE32" s="93"/>
      <c r="AF32" s="90"/>
      <c r="AG32" s="89"/>
      <c r="AH32" s="89"/>
      <c r="AI32" s="90"/>
      <c r="AJ32" s="90"/>
      <c r="AK32" s="90"/>
    </row>
    <row r="33" spans="1:37" s="39" customFormat="1" ht="15" customHeight="1">
      <c r="A33" s="89"/>
      <c r="B33" s="90"/>
      <c r="C33" s="90"/>
      <c r="D33" s="91"/>
      <c r="E33" s="91"/>
      <c r="F33" s="90"/>
      <c r="G33" s="92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3"/>
      <c r="Y33" s="94"/>
      <c r="Z33" s="93"/>
      <c r="AA33" s="93"/>
      <c r="AB33" s="98"/>
      <c r="AC33" s="100"/>
      <c r="AD33" s="89"/>
      <c r="AE33" s="93"/>
      <c r="AF33" s="90"/>
      <c r="AG33" s="89"/>
      <c r="AH33" s="89"/>
      <c r="AI33" s="90"/>
      <c r="AJ33" s="90"/>
      <c r="AK33" s="90"/>
    </row>
    <row r="34" spans="1:37" s="39" customFormat="1" ht="15" customHeight="1">
      <c r="A34" s="89"/>
      <c r="B34" s="90"/>
      <c r="C34" s="90"/>
      <c r="D34" s="91"/>
      <c r="E34" s="91"/>
      <c r="F34" s="90"/>
      <c r="G34" s="92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3"/>
      <c r="Y34" s="94"/>
      <c r="Z34" s="93"/>
      <c r="AA34" s="93"/>
      <c r="AB34" s="98"/>
      <c r="AC34" s="100"/>
      <c r="AD34" s="89"/>
      <c r="AE34" s="93"/>
      <c r="AF34" s="90"/>
      <c r="AG34" s="89"/>
      <c r="AH34" s="89"/>
      <c r="AI34" s="90"/>
      <c r="AJ34" s="90"/>
      <c r="AK34" s="90"/>
    </row>
    <row r="35" spans="1:37" s="39" customFormat="1" ht="15" customHeight="1">
      <c r="A35" s="89"/>
      <c r="B35" s="90"/>
      <c r="C35" s="90"/>
      <c r="D35" s="91"/>
      <c r="E35" s="91"/>
      <c r="F35" s="90"/>
      <c r="G35" s="92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3"/>
      <c r="Y35" s="94"/>
      <c r="Z35" s="93"/>
      <c r="AA35" s="93"/>
      <c r="AB35" s="98"/>
      <c r="AC35" s="100"/>
      <c r="AD35" s="89"/>
      <c r="AE35" s="93"/>
      <c r="AF35" s="90"/>
      <c r="AG35" s="89"/>
      <c r="AH35" s="89"/>
      <c r="AI35" s="90"/>
      <c r="AJ35" s="90"/>
      <c r="AK35" s="90"/>
    </row>
    <row r="36" spans="1:37" s="39" customFormat="1" ht="15" customHeight="1">
      <c r="A36" s="89"/>
      <c r="B36" s="90"/>
      <c r="C36" s="90"/>
      <c r="D36" s="91"/>
      <c r="E36" s="91"/>
      <c r="F36" s="90"/>
      <c r="G36" s="92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3"/>
      <c r="Y36" s="94"/>
      <c r="Z36" s="93"/>
      <c r="AA36" s="93"/>
      <c r="AB36" s="98"/>
      <c r="AC36" s="100"/>
      <c r="AD36" s="89"/>
      <c r="AE36" s="93"/>
      <c r="AF36" s="90"/>
      <c r="AG36" s="89"/>
      <c r="AH36" s="89"/>
      <c r="AI36" s="90"/>
      <c r="AJ36" s="90"/>
      <c r="AK36" s="90"/>
    </row>
    <row r="37" spans="1:37" s="39" customFormat="1" ht="15" customHeight="1">
      <c r="A37" s="89"/>
      <c r="B37" s="90"/>
      <c r="C37" s="90"/>
      <c r="D37" s="91"/>
      <c r="E37" s="91"/>
      <c r="F37" s="90"/>
      <c r="G37" s="92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3"/>
      <c r="Y37" s="94"/>
      <c r="Z37" s="93"/>
      <c r="AA37" s="93"/>
      <c r="AB37" s="98"/>
      <c r="AC37" s="100"/>
      <c r="AD37" s="89"/>
      <c r="AE37" s="93"/>
      <c r="AF37" s="90"/>
      <c r="AG37" s="89"/>
      <c r="AH37" s="89"/>
      <c r="AI37" s="90"/>
      <c r="AJ37" s="90"/>
      <c r="AK37" s="90"/>
    </row>
    <row r="38" spans="1:37" s="39" customFormat="1" ht="15" customHeight="1">
      <c r="A38" s="89"/>
      <c r="B38" s="90"/>
      <c r="C38" s="90"/>
      <c r="D38" s="91"/>
      <c r="E38" s="91"/>
      <c r="F38" s="90"/>
      <c r="G38" s="92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3"/>
      <c r="Y38" s="94"/>
      <c r="Z38" s="93"/>
      <c r="AA38" s="93"/>
      <c r="AB38" s="98"/>
      <c r="AC38" s="100"/>
      <c r="AD38" s="89"/>
      <c r="AE38" s="93"/>
      <c r="AF38" s="90"/>
      <c r="AG38" s="89"/>
      <c r="AH38" s="89"/>
      <c r="AI38" s="90"/>
      <c r="AJ38" s="90"/>
      <c r="AK38" s="90"/>
    </row>
    <row r="39" spans="1:37" s="39" customFormat="1" ht="15" customHeight="1">
      <c r="A39" s="89"/>
      <c r="B39" s="90"/>
      <c r="C39" s="90"/>
      <c r="D39" s="91"/>
      <c r="E39" s="91"/>
      <c r="F39" s="90"/>
      <c r="G39" s="92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3"/>
      <c r="Y39" s="94"/>
      <c r="Z39" s="93"/>
      <c r="AA39" s="93"/>
      <c r="AB39" s="98"/>
      <c r="AC39" s="100"/>
      <c r="AD39" s="89"/>
      <c r="AE39" s="93"/>
      <c r="AF39" s="90"/>
      <c r="AG39" s="89"/>
      <c r="AH39" s="89"/>
      <c r="AI39" s="90"/>
      <c r="AJ39" s="90"/>
      <c r="AK39" s="90"/>
    </row>
    <row r="40" spans="1:37" s="39" customFormat="1" ht="15" customHeight="1">
      <c r="A40" s="89"/>
      <c r="B40" s="90"/>
      <c r="C40" s="90"/>
      <c r="D40" s="91"/>
      <c r="E40" s="91"/>
      <c r="F40" s="90"/>
      <c r="G40" s="92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3"/>
      <c r="Y40" s="94"/>
      <c r="Z40" s="93"/>
      <c r="AA40" s="93"/>
      <c r="AB40" s="98"/>
      <c r="AC40" s="100"/>
      <c r="AD40" s="89"/>
      <c r="AE40" s="93"/>
      <c r="AF40" s="90"/>
      <c r="AG40" s="89"/>
      <c r="AH40" s="89"/>
      <c r="AI40" s="90"/>
      <c r="AJ40" s="90"/>
      <c r="AK40" s="90"/>
    </row>
    <row r="41" spans="1:37" s="39" customFormat="1" ht="15" customHeight="1">
      <c r="A41" s="89"/>
      <c r="B41" s="90"/>
      <c r="C41" s="90"/>
      <c r="D41" s="91"/>
      <c r="E41" s="91"/>
      <c r="F41" s="90"/>
      <c r="G41" s="92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3"/>
      <c r="Y41" s="94"/>
      <c r="Z41" s="93"/>
      <c r="AA41" s="93"/>
      <c r="AB41" s="98"/>
      <c r="AC41" s="100"/>
      <c r="AD41" s="89"/>
      <c r="AE41" s="93"/>
      <c r="AF41" s="90"/>
      <c r="AG41" s="89"/>
      <c r="AH41" s="89"/>
      <c r="AI41" s="90"/>
      <c r="AJ41" s="90"/>
      <c r="AK41" s="90"/>
    </row>
    <row r="42" spans="1:37" s="39" customFormat="1" ht="15" customHeight="1">
      <c r="A42" s="89"/>
      <c r="B42" s="90"/>
      <c r="C42" s="90"/>
      <c r="D42" s="91"/>
      <c r="E42" s="91"/>
      <c r="F42" s="90"/>
      <c r="G42" s="92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3"/>
      <c r="Y42" s="94"/>
      <c r="Z42" s="93"/>
      <c r="AA42" s="93"/>
      <c r="AB42" s="98"/>
      <c r="AC42" s="100"/>
      <c r="AD42" s="89"/>
      <c r="AE42" s="93"/>
      <c r="AF42" s="90"/>
      <c r="AG42" s="89"/>
      <c r="AH42" s="89"/>
      <c r="AI42" s="90"/>
      <c r="AJ42" s="90"/>
      <c r="AK42" s="90"/>
    </row>
    <row r="43" spans="1:37" s="39" customFormat="1" ht="15" customHeight="1">
      <c r="A43" s="89"/>
      <c r="B43" s="90"/>
      <c r="C43" s="90"/>
      <c r="D43" s="91"/>
      <c r="E43" s="91"/>
      <c r="F43" s="90"/>
      <c r="G43" s="92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3"/>
      <c r="Y43" s="94"/>
      <c r="Z43" s="93"/>
      <c r="AA43" s="93"/>
      <c r="AB43" s="98"/>
      <c r="AC43" s="100"/>
      <c r="AD43" s="89"/>
      <c r="AE43" s="93"/>
      <c r="AF43" s="90"/>
      <c r="AG43" s="89"/>
      <c r="AH43" s="89"/>
      <c r="AI43" s="90"/>
      <c r="AJ43" s="90"/>
      <c r="AK43" s="90"/>
    </row>
    <row r="44" spans="1:37" s="39" customFormat="1" ht="15" customHeight="1">
      <c r="A44" s="89"/>
      <c r="B44" s="90"/>
      <c r="C44" s="90"/>
      <c r="D44" s="91"/>
      <c r="E44" s="91"/>
      <c r="F44" s="90"/>
      <c r="G44" s="92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3"/>
      <c r="Y44" s="94"/>
      <c r="Z44" s="93"/>
      <c r="AA44" s="93"/>
      <c r="AB44" s="98"/>
      <c r="AC44" s="100"/>
      <c r="AD44" s="89"/>
      <c r="AE44" s="93"/>
      <c r="AF44" s="90"/>
      <c r="AG44" s="89"/>
      <c r="AH44" s="89"/>
      <c r="AI44" s="90"/>
      <c r="AJ44" s="90"/>
      <c r="AK44" s="90"/>
    </row>
    <row r="45" spans="1:37" s="39" customFormat="1" ht="15" customHeight="1">
      <c r="A45" s="89"/>
      <c r="B45" s="90"/>
      <c r="C45" s="90"/>
      <c r="D45" s="91"/>
      <c r="E45" s="91"/>
      <c r="F45" s="90"/>
      <c r="G45" s="92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3"/>
      <c r="Y45" s="94"/>
      <c r="Z45" s="93"/>
      <c r="AA45" s="93"/>
      <c r="AB45" s="98"/>
      <c r="AC45" s="100"/>
      <c r="AD45" s="89"/>
      <c r="AE45" s="93"/>
      <c r="AF45" s="90"/>
      <c r="AG45" s="89"/>
      <c r="AH45" s="89"/>
      <c r="AI45" s="90"/>
      <c r="AJ45" s="90"/>
      <c r="AK45" s="90"/>
    </row>
    <row r="46" spans="1:37" s="39" customFormat="1" ht="15" customHeight="1">
      <c r="A46" s="89"/>
      <c r="B46" s="90"/>
      <c r="C46" s="90"/>
      <c r="D46" s="91"/>
      <c r="E46" s="91"/>
      <c r="F46" s="90"/>
      <c r="G46" s="92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3"/>
      <c r="Y46" s="94"/>
      <c r="Z46" s="93"/>
      <c r="AA46" s="93"/>
      <c r="AB46" s="98"/>
      <c r="AC46" s="100"/>
      <c r="AD46" s="89"/>
      <c r="AE46" s="93"/>
      <c r="AF46" s="90"/>
      <c r="AG46" s="89"/>
      <c r="AH46" s="89"/>
      <c r="AI46" s="90"/>
      <c r="AJ46" s="90"/>
      <c r="AK46" s="90"/>
    </row>
    <row r="47" spans="1:37" s="39" customFormat="1" ht="15" customHeight="1">
      <c r="A47" s="89"/>
      <c r="B47" s="90"/>
      <c r="C47" s="90"/>
      <c r="D47" s="91"/>
      <c r="E47" s="91"/>
      <c r="F47" s="90"/>
      <c r="G47" s="92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3"/>
      <c r="Y47" s="94"/>
      <c r="Z47" s="93"/>
      <c r="AA47" s="93"/>
      <c r="AB47" s="98"/>
      <c r="AC47" s="100"/>
      <c r="AD47" s="89"/>
      <c r="AE47" s="93"/>
      <c r="AF47" s="90"/>
      <c r="AG47" s="89"/>
      <c r="AH47" s="89"/>
      <c r="AI47" s="90"/>
      <c r="AJ47" s="90"/>
      <c r="AK47" s="90"/>
    </row>
    <row r="48" spans="1:37" s="39" customFormat="1" ht="15" customHeight="1">
      <c r="A48" s="89"/>
      <c r="B48" s="90"/>
      <c r="C48" s="90"/>
      <c r="D48" s="91"/>
      <c r="E48" s="91"/>
      <c r="F48" s="90"/>
      <c r="G48" s="92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3"/>
      <c r="Y48" s="94"/>
      <c r="Z48" s="93"/>
      <c r="AA48" s="93"/>
      <c r="AB48" s="98"/>
      <c r="AC48" s="100"/>
      <c r="AD48" s="89"/>
      <c r="AE48" s="93"/>
      <c r="AF48" s="90"/>
      <c r="AG48" s="89"/>
      <c r="AH48" s="89"/>
      <c r="AI48" s="90"/>
      <c r="AJ48" s="90"/>
      <c r="AK48" s="90"/>
    </row>
    <row r="49" spans="1:37" s="39" customFormat="1" ht="15" customHeight="1">
      <c r="A49" s="89"/>
      <c r="B49" s="90"/>
      <c r="C49" s="90"/>
      <c r="D49" s="91"/>
      <c r="E49" s="91"/>
      <c r="F49" s="90"/>
      <c r="G49" s="92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3"/>
      <c r="Y49" s="94"/>
      <c r="Z49" s="93"/>
      <c r="AA49" s="93"/>
      <c r="AB49" s="98"/>
      <c r="AC49" s="100"/>
      <c r="AD49" s="89"/>
      <c r="AE49" s="93"/>
      <c r="AF49" s="90"/>
      <c r="AG49" s="89"/>
      <c r="AH49" s="89"/>
      <c r="AI49" s="90"/>
      <c r="AJ49" s="90"/>
      <c r="AK49" s="90"/>
    </row>
    <row r="50" spans="1:37" s="39" customFormat="1" ht="15" customHeight="1">
      <c r="A50" s="89"/>
      <c r="B50" s="90"/>
      <c r="C50" s="90"/>
      <c r="D50" s="91"/>
      <c r="E50" s="91"/>
      <c r="F50" s="90"/>
      <c r="G50" s="92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3"/>
      <c r="Y50" s="94"/>
      <c r="Z50" s="93"/>
      <c r="AA50" s="93"/>
      <c r="AB50" s="98"/>
      <c r="AC50" s="100"/>
      <c r="AD50" s="89"/>
      <c r="AE50" s="93"/>
      <c r="AF50" s="90"/>
      <c r="AG50" s="89"/>
      <c r="AH50" s="89"/>
      <c r="AI50" s="90"/>
      <c r="AJ50" s="90"/>
      <c r="AK50" s="90"/>
    </row>
    <row r="51" spans="1:37" s="39" customFormat="1" ht="15" customHeight="1">
      <c r="A51" s="89"/>
      <c r="B51" s="90"/>
      <c r="C51" s="90"/>
      <c r="D51" s="91"/>
      <c r="E51" s="91"/>
      <c r="F51" s="90"/>
      <c r="G51" s="92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3"/>
      <c r="Y51" s="94"/>
      <c r="Z51" s="93"/>
      <c r="AA51" s="93"/>
      <c r="AB51" s="98"/>
      <c r="AC51" s="100"/>
      <c r="AD51" s="89"/>
      <c r="AE51" s="93"/>
      <c r="AF51" s="90"/>
      <c r="AG51" s="89"/>
      <c r="AH51" s="89"/>
      <c r="AI51" s="90"/>
      <c r="AJ51" s="90"/>
      <c r="AK51" s="90"/>
    </row>
    <row r="52" spans="1:37" s="39" customFormat="1" ht="15" customHeight="1">
      <c r="A52" s="89"/>
      <c r="B52" s="90"/>
      <c r="C52" s="90"/>
      <c r="D52" s="91"/>
      <c r="E52" s="91"/>
      <c r="F52" s="90"/>
      <c r="G52" s="92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3"/>
      <c r="Y52" s="94"/>
      <c r="Z52" s="93"/>
      <c r="AA52" s="93"/>
      <c r="AB52" s="98"/>
      <c r="AC52" s="100"/>
      <c r="AD52" s="89"/>
      <c r="AE52" s="93"/>
      <c r="AF52" s="90"/>
      <c r="AG52" s="89"/>
      <c r="AH52" s="89"/>
      <c r="AI52" s="90"/>
      <c r="AJ52" s="90"/>
      <c r="AK52" s="90"/>
    </row>
    <row r="53" spans="1:37" s="39" customFormat="1" ht="15" customHeight="1">
      <c r="A53" s="89"/>
      <c r="B53" s="90"/>
      <c r="C53" s="90"/>
      <c r="D53" s="91"/>
      <c r="E53" s="91"/>
      <c r="F53" s="90"/>
      <c r="G53" s="92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3"/>
      <c r="Y53" s="94"/>
      <c r="Z53" s="93"/>
      <c r="AA53" s="93"/>
      <c r="AB53" s="98"/>
      <c r="AC53" s="100"/>
      <c r="AD53" s="89"/>
      <c r="AE53" s="93"/>
      <c r="AF53" s="90"/>
      <c r="AG53" s="89"/>
      <c r="AH53" s="89"/>
      <c r="AI53" s="90"/>
      <c r="AJ53" s="90"/>
      <c r="AK53" s="90"/>
    </row>
    <row r="54" spans="1:37" s="39" customFormat="1" ht="15" customHeight="1">
      <c r="A54" s="89"/>
      <c r="B54" s="90"/>
      <c r="C54" s="90"/>
      <c r="D54" s="91"/>
      <c r="E54" s="91"/>
      <c r="F54" s="90"/>
      <c r="G54" s="92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3"/>
      <c r="Y54" s="94"/>
      <c r="Z54" s="93"/>
      <c r="AA54" s="93"/>
      <c r="AB54" s="98"/>
      <c r="AC54" s="100"/>
      <c r="AD54" s="89"/>
      <c r="AE54" s="93"/>
      <c r="AF54" s="90"/>
      <c r="AG54" s="89"/>
      <c r="AH54" s="89"/>
      <c r="AI54" s="90"/>
      <c r="AJ54" s="90"/>
      <c r="AK54" s="90"/>
    </row>
    <row r="55" spans="1:37" s="39" customFormat="1" ht="15" customHeight="1">
      <c r="A55" s="89"/>
      <c r="B55" s="90"/>
      <c r="C55" s="90"/>
      <c r="D55" s="91"/>
      <c r="E55" s="91"/>
      <c r="F55" s="90"/>
      <c r="G55" s="92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3"/>
      <c r="Y55" s="94"/>
      <c r="Z55" s="93"/>
      <c r="AA55" s="93"/>
      <c r="AB55" s="98"/>
      <c r="AC55" s="100"/>
      <c r="AD55" s="89"/>
      <c r="AE55" s="93"/>
      <c r="AF55" s="90"/>
      <c r="AG55" s="89"/>
      <c r="AH55" s="89"/>
      <c r="AI55" s="90"/>
      <c r="AJ55" s="90"/>
      <c r="AK55" s="90"/>
    </row>
    <row r="56" spans="1:37" s="39" customFormat="1" ht="15" customHeight="1">
      <c r="A56" s="89"/>
      <c r="B56" s="90"/>
      <c r="C56" s="90"/>
      <c r="D56" s="91"/>
      <c r="E56" s="91"/>
      <c r="F56" s="90"/>
      <c r="G56" s="92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3"/>
      <c r="Y56" s="94"/>
      <c r="Z56" s="93"/>
      <c r="AA56" s="93"/>
      <c r="AB56" s="98"/>
      <c r="AC56" s="100"/>
      <c r="AD56" s="89"/>
      <c r="AE56" s="93"/>
      <c r="AF56" s="90"/>
      <c r="AG56" s="89"/>
      <c r="AH56" s="89"/>
      <c r="AI56" s="90"/>
      <c r="AJ56" s="90"/>
      <c r="AK56" s="90"/>
    </row>
    <row r="57" spans="1:37" s="39" customFormat="1" ht="15" customHeight="1">
      <c r="A57" s="89"/>
      <c r="B57" s="90"/>
      <c r="C57" s="90"/>
      <c r="D57" s="91"/>
      <c r="E57" s="91"/>
      <c r="F57" s="90"/>
      <c r="G57" s="92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3"/>
      <c r="Y57" s="94"/>
      <c r="Z57" s="93"/>
      <c r="AA57" s="93"/>
      <c r="AB57" s="98"/>
      <c r="AC57" s="100"/>
      <c r="AD57" s="89"/>
      <c r="AE57" s="93"/>
      <c r="AF57" s="90"/>
      <c r="AG57" s="89"/>
      <c r="AH57" s="89"/>
      <c r="AI57" s="90"/>
      <c r="AJ57" s="90"/>
      <c r="AK57" s="90"/>
    </row>
    <row r="58" spans="1:37" s="39" customFormat="1" ht="15" customHeight="1">
      <c r="A58" s="89"/>
      <c r="B58" s="90"/>
      <c r="C58" s="90"/>
      <c r="D58" s="91"/>
      <c r="E58" s="91"/>
      <c r="F58" s="90"/>
      <c r="G58" s="92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3"/>
      <c r="Y58" s="94"/>
      <c r="Z58" s="93"/>
      <c r="AA58" s="93"/>
      <c r="AB58" s="98"/>
      <c r="AC58" s="100"/>
      <c r="AD58" s="89"/>
      <c r="AE58" s="93"/>
      <c r="AF58" s="90"/>
      <c r="AG58" s="89"/>
      <c r="AH58" s="89"/>
      <c r="AI58" s="90"/>
      <c r="AJ58" s="90"/>
      <c r="AK58" s="90"/>
    </row>
    <row r="59" spans="1:37" s="39" customFormat="1" ht="15" customHeight="1">
      <c r="A59" s="89"/>
      <c r="B59" s="90"/>
      <c r="C59" s="90"/>
      <c r="D59" s="91"/>
      <c r="E59" s="91"/>
      <c r="F59" s="90"/>
      <c r="G59" s="92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3"/>
      <c r="Y59" s="94"/>
      <c r="Z59" s="93"/>
      <c r="AA59" s="93"/>
      <c r="AB59" s="98"/>
      <c r="AC59" s="100"/>
      <c r="AD59" s="89"/>
      <c r="AE59" s="93"/>
      <c r="AF59" s="90"/>
      <c r="AG59" s="89"/>
      <c r="AH59" s="89"/>
      <c r="AI59" s="90"/>
      <c r="AJ59" s="90"/>
      <c r="AK59" s="90"/>
    </row>
    <row r="60" spans="1:37" s="39" customFormat="1" ht="15" customHeight="1">
      <c r="A60" s="89"/>
      <c r="B60" s="90"/>
      <c r="C60" s="90"/>
      <c r="D60" s="91"/>
      <c r="E60" s="91"/>
      <c r="F60" s="90"/>
      <c r="G60" s="92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3"/>
      <c r="Y60" s="94"/>
      <c r="Z60" s="93"/>
      <c r="AA60" s="93"/>
      <c r="AB60" s="98"/>
      <c r="AC60" s="100"/>
      <c r="AD60" s="89"/>
      <c r="AE60" s="93"/>
      <c r="AF60" s="90"/>
      <c r="AG60" s="89"/>
      <c r="AH60" s="89"/>
      <c r="AI60" s="90"/>
      <c r="AJ60" s="90"/>
      <c r="AK60" s="90"/>
    </row>
    <row r="61" spans="1:37" s="39" customFormat="1" ht="15" customHeight="1">
      <c r="A61" s="89"/>
      <c r="B61" s="90"/>
      <c r="C61" s="90"/>
      <c r="D61" s="91"/>
      <c r="E61" s="91"/>
      <c r="F61" s="90"/>
      <c r="G61" s="92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3"/>
      <c r="Y61" s="94"/>
      <c r="Z61" s="93"/>
      <c r="AA61" s="93"/>
      <c r="AB61" s="98"/>
      <c r="AC61" s="100"/>
      <c r="AD61" s="89"/>
      <c r="AE61" s="93"/>
      <c r="AF61" s="90"/>
      <c r="AG61" s="89"/>
      <c r="AH61" s="89"/>
      <c r="AI61" s="90"/>
      <c r="AJ61" s="90"/>
      <c r="AK61" s="90"/>
    </row>
    <row r="62" spans="1:37" s="39" customFormat="1" ht="15" customHeight="1">
      <c r="A62" s="89"/>
      <c r="B62" s="90"/>
      <c r="C62" s="90"/>
      <c r="D62" s="91"/>
      <c r="E62" s="91"/>
      <c r="F62" s="90"/>
      <c r="G62" s="92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3"/>
      <c r="Y62" s="94"/>
      <c r="Z62" s="93"/>
      <c r="AA62" s="93"/>
      <c r="AB62" s="98"/>
      <c r="AC62" s="100"/>
      <c r="AD62" s="89"/>
      <c r="AE62" s="93"/>
      <c r="AF62" s="90"/>
      <c r="AG62" s="89"/>
      <c r="AH62" s="89"/>
      <c r="AI62" s="90"/>
      <c r="AJ62" s="90"/>
      <c r="AK62" s="90"/>
    </row>
    <row r="63" spans="1:37" s="39" customFormat="1" ht="15" customHeight="1">
      <c r="A63" s="89"/>
      <c r="B63" s="90"/>
      <c r="C63" s="90"/>
      <c r="D63" s="91"/>
      <c r="E63" s="91"/>
      <c r="F63" s="90"/>
      <c r="G63" s="92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4"/>
      <c r="Z63" s="93"/>
      <c r="AA63" s="93"/>
      <c r="AB63" s="98"/>
      <c r="AC63" s="100"/>
      <c r="AD63" s="89"/>
      <c r="AE63" s="93"/>
      <c r="AF63" s="90"/>
      <c r="AG63" s="89"/>
      <c r="AH63" s="89"/>
      <c r="AI63" s="90"/>
      <c r="AJ63" s="90"/>
      <c r="AK63" s="90"/>
    </row>
    <row r="64" spans="1:37" s="39" customFormat="1" ht="15" customHeight="1">
      <c r="A64" s="89"/>
      <c r="B64" s="90"/>
      <c r="C64" s="90"/>
      <c r="D64" s="91"/>
      <c r="E64" s="91"/>
      <c r="F64" s="90"/>
      <c r="G64" s="92"/>
      <c r="H64" s="90"/>
      <c r="I64" s="90"/>
      <c r="J64" s="90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3"/>
      <c r="Y64" s="94"/>
      <c r="Z64" s="93"/>
      <c r="AA64" s="93"/>
      <c r="AB64" s="98"/>
      <c r="AC64" s="100"/>
      <c r="AD64" s="89"/>
      <c r="AE64" s="93"/>
      <c r="AF64" s="90"/>
      <c r="AG64" s="89"/>
      <c r="AH64" s="89"/>
      <c r="AI64" s="90"/>
      <c r="AJ64" s="90"/>
      <c r="AK64" s="90"/>
    </row>
    <row r="65" spans="1:37" s="39" customFormat="1" ht="15" customHeight="1">
      <c r="A65" s="89"/>
      <c r="B65" s="90"/>
      <c r="C65" s="90"/>
      <c r="D65" s="91"/>
      <c r="E65" s="91"/>
      <c r="F65" s="90"/>
      <c r="G65" s="92"/>
      <c r="H65" s="90"/>
      <c r="I65" s="90"/>
      <c r="J65" s="90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3"/>
      <c r="Y65" s="94"/>
      <c r="Z65" s="93"/>
      <c r="AA65" s="93"/>
      <c r="AB65" s="98"/>
      <c r="AC65" s="100"/>
      <c r="AD65" s="89"/>
      <c r="AE65" s="93"/>
      <c r="AF65" s="90"/>
      <c r="AG65" s="89"/>
      <c r="AH65" s="89"/>
      <c r="AI65" s="90"/>
      <c r="AJ65" s="90"/>
      <c r="AK65" s="90"/>
    </row>
    <row r="66" spans="1:37" s="39" customFormat="1" ht="15" customHeight="1">
      <c r="A66" s="89"/>
      <c r="B66" s="90"/>
      <c r="C66" s="90"/>
      <c r="D66" s="91"/>
      <c r="E66" s="91"/>
      <c r="F66" s="90"/>
      <c r="G66" s="92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3"/>
      <c r="Y66" s="94"/>
      <c r="Z66" s="93"/>
      <c r="AA66" s="93"/>
      <c r="AB66" s="98"/>
      <c r="AC66" s="100"/>
      <c r="AD66" s="89"/>
      <c r="AE66" s="93"/>
      <c r="AF66" s="90"/>
      <c r="AG66" s="89"/>
      <c r="AH66" s="89"/>
      <c r="AI66" s="90"/>
      <c r="AJ66" s="90"/>
      <c r="AK66" s="90"/>
    </row>
    <row r="67" spans="1:37" s="39" customFormat="1" ht="15" customHeight="1">
      <c r="A67" s="89"/>
      <c r="B67" s="90"/>
      <c r="C67" s="90"/>
      <c r="D67" s="91"/>
      <c r="E67" s="91"/>
      <c r="F67" s="90"/>
      <c r="G67" s="92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3"/>
      <c r="Y67" s="94"/>
      <c r="Z67" s="93"/>
      <c r="AA67" s="93"/>
      <c r="AB67" s="98"/>
      <c r="AC67" s="100"/>
      <c r="AD67" s="89"/>
      <c r="AE67" s="93"/>
      <c r="AF67" s="90"/>
      <c r="AG67" s="89"/>
      <c r="AH67" s="89"/>
      <c r="AI67" s="90"/>
      <c r="AJ67" s="90"/>
      <c r="AK67" s="90"/>
    </row>
    <row r="68" spans="1:37" s="39" customFormat="1" ht="15" customHeight="1">
      <c r="A68" s="89"/>
      <c r="B68" s="90"/>
      <c r="C68" s="90"/>
      <c r="D68" s="91"/>
      <c r="E68" s="91"/>
      <c r="F68" s="90"/>
      <c r="G68" s="92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3"/>
      <c r="Y68" s="94"/>
      <c r="Z68" s="93"/>
      <c r="AA68" s="93"/>
      <c r="AB68" s="98"/>
      <c r="AC68" s="100"/>
      <c r="AD68" s="89"/>
      <c r="AE68" s="93"/>
      <c r="AF68" s="90"/>
      <c r="AG68" s="89"/>
      <c r="AH68" s="89"/>
      <c r="AI68" s="90"/>
      <c r="AJ68" s="90"/>
      <c r="AK68" s="90"/>
    </row>
    <row r="69" spans="1:37" s="39" customFormat="1" ht="15" customHeight="1">
      <c r="A69" s="89"/>
      <c r="B69" s="90"/>
      <c r="C69" s="90"/>
      <c r="D69" s="91"/>
      <c r="E69" s="91"/>
      <c r="F69" s="90"/>
      <c r="G69" s="92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3"/>
      <c r="Y69" s="94"/>
      <c r="Z69" s="93"/>
      <c r="AA69" s="93"/>
      <c r="AB69" s="98"/>
      <c r="AC69" s="100"/>
      <c r="AD69" s="89"/>
      <c r="AE69" s="93"/>
      <c r="AF69" s="90"/>
      <c r="AG69" s="89"/>
      <c r="AH69" s="89"/>
      <c r="AI69" s="90"/>
      <c r="AJ69" s="90"/>
      <c r="AK69" s="90"/>
    </row>
    <row r="70" spans="1:37" s="39" customFormat="1" ht="15" customHeight="1">
      <c r="A70" s="89"/>
      <c r="B70" s="90"/>
      <c r="C70" s="90"/>
      <c r="D70" s="91"/>
      <c r="E70" s="91"/>
      <c r="F70" s="90"/>
      <c r="G70" s="92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3"/>
      <c r="Y70" s="94"/>
      <c r="Z70" s="93"/>
      <c r="AA70" s="93"/>
      <c r="AB70" s="98"/>
      <c r="AC70" s="100"/>
      <c r="AD70" s="89"/>
      <c r="AE70" s="93"/>
      <c r="AF70" s="90"/>
      <c r="AG70" s="89"/>
      <c r="AH70" s="89"/>
      <c r="AI70" s="90"/>
      <c r="AJ70" s="90"/>
      <c r="AK70" s="90"/>
    </row>
    <row r="71" spans="1:37" s="39" customFormat="1" ht="15" customHeight="1">
      <c r="A71" s="89"/>
      <c r="B71" s="90"/>
      <c r="C71" s="90"/>
      <c r="D71" s="91"/>
      <c r="E71" s="91"/>
      <c r="F71" s="90"/>
      <c r="G71" s="92"/>
      <c r="H71" s="90"/>
      <c r="I71" s="90"/>
      <c r="J71" s="90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3"/>
      <c r="Y71" s="94"/>
      <c r="Z71" s="93"/>
      <c r="AA71" s="93"/>
      <c r="AB71" s="98"/>
      <c r="AC71" s="100"/>
      <c r="AD71" s="89"/>
      <c r="AE71" s="93"/>
      <c r="AF71" s="90"/>
      <c r="AG71" s="89"/>
      <c r="AH71" s="89"/>
      <c r="AI71" s="90"/>
      <c r="AJ71" s="90"/>
      <c r="AK71" s="90"/>
    </row>
    <row r="72" spans="1:37" s="39" customFormat="1" ht="15" customHeight="1">
      <c r="A72" s="89"/>
      <c r="B72" s="90"/>
      <c r="C72" s="90"/>
      <c r="D72" s="91"/>
      <c r="E72" s="91"/>
      <c r="F72" s="90"/>
      <c r="G72" s="92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3"/>
      <c r="Y72" s="94"/>
      <c r="Z72" s="93"/>
      <c r="AA72" s="93"/>
      <c r="AB72" s="98"/>
      <c r="AC72" s="100"/>
      <c r="AD72" s="89"/>
      <c r="AE72" s="93"/>
      <c r="AF72" s="90"/>
      <c r="AG72" s="89"/>
      <c r="AH72" s="89"/>
      <c r="AI72" s="90"/>
      <c r="AJ72" s="90"/>
      <c r="AK72" s="90"/>
    </row>
    <row r="73" spans="1:37" s="39" customFormat="1" ht="15" customHeight="1">
      <c r="A73" s="89"/>
      <c r="B73" s="90"/>
      <c r="C73" s="90"/>
      <c r="D73" s="91"/>
      <c r="E73" s="91"/>
      <c r="F73" s="90"/>
      <c r="G73" s="92"/>
      <c r="H73" s="90"/>
      <c r="I73" s="90"/>
      <c r="J73" s="90"/>
      <c r="K73" s="90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3"/>
      <c r="Y73" s="94"/>
      <c r="Z73" s="93"/>
      <c r="AA73" s="93"/>
      <c r="AB73" s="98"/>
      <c r="AC73" s="100"/>
      <c r="AD73" s="89"/>
      <c r="AE73" s="93"/>
      <c r="AF73" s="90"/>
      <c r="AG73" s="89"/>
      <c r="AH73" s="89"/>
      <c r="AI73" s="90"/>
      <c r="AJ73" s="90"/>
      <c r="AK73" s="90"/>
    </row>
    <row r="74" spans="1:37" s="39" customFormat="1" ht="15" customHeight="1">
      <c r="A74" s="89"/>
      <c r="B74" s="90"/>
      <c r="C74" s="90"/>
      <c r="D74" s="91"/>
      <c r="E74" s="91"/>
      <c r="F74" s="90"/>
      <c r="G74" s="92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3"/>
      <c r="Y74" s="94"/>
      <c r="Z74" s="93"/>
      <c r="AA74" s="93"/>
      <c r="AB74" s="98"/>
      <c r="AC74" s="100"/>
      <c r="AD74" s="89"/>
      <c r="AE74" s="93"/>
      <c r="AF74" s="90"/>
      <c r="AG74" s="89"/>
      <c r="AH74" s="89"/>
      <c r="AI74" s="90"/>
      <c r="AJ74" s="90"/>
      <c r="AK74" s="90"/>
    </row>
    <row r="75" spans="1:37" s="39" customFormat="1" ht="15" customHeight="1">
      <c r="A75" s="89"/>
      <c r="B75" s="90"/>
      <c r="C75" s="90"/>
      <c r="D75" s="91"/>
      <c r="E75" s="91"/>
      <c r="F75" s="90"/>
      <c r="G75" s="92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3"/>
      <c r="Y75" s="94"/>
      <c r="Z75" s="93"/>
      <c r="AA75" s="93"/>
      <c r="AB75" s="98"/>
      <c r="AC75" s="100"/>
      <c r="AD75" s="89"/>
      <c r="AE75" s="93"/>
      <c r="AF75" s="90"/>
      <c r="AG75" s="89"/>
      <c r="AH75" s="89"/>
      <c r="AI75" s="90"/>
      <c r="AJ75" s="90"/>
      <c r="AK75" s="90"/>
    </row>
    <row r="76" spans="1:37" s="39" customFormat="1" ht="15" customHeight="1">
      <c r="A76" s="89"/>
      <c r="B76" s="90"/>
      <c r="C76" s="90"/>
      <c r="D76" s="91"/>
      <c r="E76" s="91"/>
      <c r="F76" s="90"/>
      <c r="G76" s="92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3"/>
      <c r="Y76" s="94"/>
      <c r="Z76" s="93"/>
      <c r="AA76" s="93"/>
      <c r="AB76" s="98"/>
      <c r="AC76" s="100"/>
      <c r="AD76" s="89"/>
      <c r="AE76" s="93"/>
      <c r="AF76" s="90"/>
      <c r="AG76" s="89"/>
      <c r="AH76" s="89"/>
      <c r="AI76" s="90"/>
      <c r="AJ76" s="90"/>
      <c r="AK76" s="90"/>
    </row>
    <row r="77" spans="1:37" s="39" customFormat="1" ht="15" customHeight="1">
      <c r="A77" s="89"/>
      <c r="B77" s="90"/>
      <c r="C77" s="90"/>
      <c r="D77" s="91"/>
      <c r="E77" s="91"/>
      <c r="F77" s="90"/>
      <c r="G77" s="92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3"/>
      <c r="Y77" s="94"/>
      <c r="Z77" s="93"/>
      <c r="AA77" s="93"/>
      <c r="AB77" s="98"/>
      <c r="AC77" s="100"/>
      <c r="AD77" s="89"/>
      <c r="AE77" s="93"/>
      <c r="AF77" s="90"/>
      <c r="AG77" s="89"/>
      <c r="AH77" s="89"/>
      <c r="AI77" s="90"/>
      <c r="AJ77" s="90"/>
      <c r="AK77" s="90"/>
    </row>
    <row r="78" spans="1:37" s="39" customFormat="1" ht="15" customHeight="1">
      <c r="A78" s="89"/>
      <c r="B78" s="90"/>
      <c r="C78" s="90"/>
      <c r="D78" s="91"/>
      <c r="E78" s="91"/>
      <c r="F78" s="90"/>
      <c r="G78" s="92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3"/>
      <c r="Y78" s="94"/>
      <c r="Z78" s="93"/>
      <c r="AA78" s="93"/>
      <c r="AB78" s="98"/>
      <c r="AC78" s="100"/>
      <c r="AD78" s="89"/>
      <c r="AE78" s="93"/>
      <c r="AF78" s="90"/>
      <c r="AG78" s="89"/>
      <c r="AH78" s="89"/>
      <c r="AI78" s="90"/>
      <c r="AJ78" s="90"/>
      <c r="AK78" s="90"/>
    </row>
    <row r="79" spans="1:37" s="39" customFormat="1" ht="15" customHeight="1">
      <c r="A79" s="89"/>
      <c r="B79" s="90"/>
      <c r="C79" s="90"/>
      <c r="D79" s="91"/>
      <c r="E79" s="91"/>
      <c r="F79" s="90"/>
      <c r="G79" s="92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3"/>
      <c r="Y79" s="94"/>
      <c r="Z79" s="93"/>
      <c r="AA79" s="93"/>
      <c r="AB79" s="98"/>
      <c r="AC79" s="100"/>
      <c r="AD79" s="89"/>
      <c r="AE79" s="93"/>
      <c r="AF79" s="90"/>
      <c r="AG79" s="89"/>
      <c r="AH79" s="89"/>
      <c r="AI79" s="90"/>
      <c r="AJ79" s="90"/>
      <c r="AK79" s="90"/>
    </row>
    <row r="80" spans="1:37" s="39" customFormat="1" ht="15" customHeight="1">
      <c r="A80" s="89"/>
      <c r="B80" s="90"/>
      <c r="C80" s="90"/>
      <c r="D80" s="91"/>
      <c r="E80" s="91"/>
      <c r="F80" s="90"/>
      <c r="G80" s="92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3"/>
      <c r="Y80" s="94"/>
      <c r="Z80" s="93"/>
      <c r="AA80" s="93"/>
      <c r="AB80" s="98"/>
      <c r="AC80" s="100"/>
      <c r="AD80" s="89"/>
      <c r="AE80" s="93"/>
      <c r="AF80" s="90"/>
      <c r="AG80" s="89"/>
      <c r="AH80" s="89"/>
      <c r="AI80" s="90"/>
      <c r="AJ80" s="90"/>
      <c r="AK80" s="90"/>
    </row>
    <row r="81" spans="1:37" s="39" customFormat="1" ht="15" customHeight="1">
      <c r="A81" s="89"/>
      <c r="B81" s="90"/>
      <c r="C81" s="90"/>
      <c r="D81" s="91"/>
      <c r="E81" s="91"/>
      <c r="F81" s="90"/>
      <c r="G81" s="92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3"/>
      <c r="Y81" s="94"/>
      <c r="Z81" s="93"/>
      <c r="AA81" s="93"/>
      <c r="AB81" s="98"/>
      <c r="AC81" s="100"/>
      <c r="AD81" s="89"/>
      <c r="AE81" s="93"/>
      <c r="AF81" s="90"/>
      <c r="AG81" s="89"/>
      <c r="AH81" s="89"/>
      <c r="AI81" s="90"/>
      <c r="AJ81" s="90"/>
      <c r="AK81" s="90"/>
    </row>
    <row r="82" spans="1:37" s="39" customFormat="1" ht="15" customHeight="1">
      <c r="A82" s="89"/>
      <c r="B82" s="90"/>
      <c r="C82" s="90"/>
      <c r="D82" s="91"/>
      <c r="E82" s="91"/>
      <c r="F82" s="90"/>
      <c r="G82" s="92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3"/>
      <c r="Y82" s="94"/>
      <c r="Z82" s="93"/>
      <c r="AA82" s="93"/>
      <c r="AB82" s="98"/>
      <c r="AC82" s="100"/>
      <c r="AD82" s="89"/>
      <c r="AE82" s="93"/>
      <c r="AF82" s="90"/>
      <c r="AG82" s="89"/>
      <c r="AH82" s="89"/>
      <c r="AI82" s="90"/>
      <c r="AJ82" s="90"/>
      <c r="AK82" s="90"/>
    </row>
    <row r="83" spans="1:37" s="39" customFormat="1" ht="15" customHeight="1">
      <c r="A83" s="89"/>
      <c r="B83" s="90"/>
      <c r="C83" s="90"/>
      <c r="D83" s="91"/>
      <c r="E83" s="91"/>
      <c r="F83" s="90"/>
      <c r="G83" s="92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3"/>
      <c r="Y83" s="94"/>
      <c r="Z83" s="93"/>
      <c r="AA83" s="93"/>
      <c r="AB83" s="98"/>
      <c r="AC83" s="100"/>
      <c r="AD83" s="89"/>
      <c r="AE83" s="93"/>
      <c r="AF83" s="90"/>
      <c r="AG83" s="89"/>
      <c r="AH83" s="89"/>
      <c r="AI83" s="90"/>
      <c r="AJ83" s="90"/>
      <c r="AK83" s="90"/>
    </row>
    <row r="84" spans="1:37" s="39" customFormat="1" ht="15" customHeight="1">
      <c r="A84" s="89"/>
      <c r="B84" s="90"/>
      <c r="C84" s="90"/>
      <c r="D84" s="91"/>
      <c r="E84" s="91"/>
      <c r="F84" s="90"/>
      <c r="G84" s="92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3"/>
      <c r="Y84" s="94"/>
      <c r="Z84" s="93"/>
      <c r="AA84" s="93"/>
      <c r="AB84" s="98"/>
      <c r="AC84" s="100"/>
      <c r="AD84" s="89"/>
      <c r="AE84" s="93"/>
      <c r="AF84" s="90"/>
      <c r="AG84" s="89"/>
      <c r="AH84" s="89"/>
      <c r="AI84" s="90"/>
      <c r="AJ84" s="90"/>
      <c r="AK84" s="90"/>
    </row>
    <row r="85" spans="1:37" s="39" customFormat="1" ht="15" customHeight="1">
      <c r="A85" s="89"/>
      <c r="B85" s="90"/>
      <c r="C85" s="90"/>
      <c r="D85" s="91"/>
      <c r="E85" s="91"/>
      <c r="F85" s="90"/>
      <c r="G85" s="92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3"/>
      <c r="Y85" s="94"/>
      <c r="Z85" s="93"/>
      <c r="AA85" s="93"/>
      <c r="AB85" s="98"/>
      <c r="AC85" s="100"/>
      <c r="AD85" s="89"/>
      <c r="AE85" s="93"/>
      <c r="AF85" s="90"/>
      <c r="AG85" s="89"/>
      <c r="AH85" s="89"/>
      <c r="AI85" s="90"/>
      <c r="AJ85" s="90"/>
      <c r="AK85" s="90"/>
    </row>
    <row r="86" spans="1:37" s="39" customFormat="1" ht="15" customHeight="1">
      <c r="A86" s="89"/>
      <c r="B86" s="90"/>
      <c r="C86" s="90"/>
      <c r="D86" s="91"/>
      <c r="E86" s="91"/>
      <c r="F86" s="90"/>
      <c r="G86" s="92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3"/>
      <c r="Y86" s="94"/>
      <c r="Z86" s="93"/>
      <c r="AA86" s="93"/>
      <c r="AB86" s="98"/>
      <c r="AC86" s="100"/>
      <c r="AD86" s="89"/>
      <c r="AE86" s="93"/>
      <c r="AF86" s="90"/>
      <c r="AG86" s="89"/>
      <c r="AH86" s="89"/>
      <c r="AI86" s="90"/>
      <c r="AJ86" s="90"/>
      <c r="AK86" s="90"/>
    </row>
    <row r="87" spans="1:37" s="39" customFormat="1" ht="15" customHeight="1">
      <c r="A87" s="89"/>
      <c r="B87" s="90"/>
      <c r="C87" s="90"/>
      <c r="D87" s="91"/>
      <c r="E87" s="91"/>
      <c r="F87" s="90"/>
      <c r="G87" s="92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3"/>
      <c r="Y87" s="94"/>
      <c r="Z87" s="93"/>
      <c r="AA87" s="93"/>
      <c r="AB87" s="98"/>
      <c r="AC87" s="100"/>
      <c r="AD87" s="89"/>
      <c r="AE87" s="93"/>
      <c r="AF87" s="90"/>
      <c r="AG87" s="89"/>
      <c r="AH87" s="89"/>
      <c r="AI87" s="90"/>
      <c r="AJ87" s="90"/>
      <c r="AK87" s="90"/>
    </row>
    <row r="88" spans="1:37" s="39" customFormat="1" ht="15" customHeight="1">
      <c r="A88" s="89"/>
      <c r="B88" s="90"/>
      <c r="C88" s="90"/>
      <c r="D88" s="91"/>
      <c r="E88" s="91"/>
      <c r="F88" s="90"/>
      <c r="G88" s="92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3"/>
      <c r="Y88" s="94"/>
      <c r="Z88" s="93"/>
      <c r="AA88" s="93"/>
      <c r="AB88" s="98"/>
      <c r="AC88" s="100"/>
      <c r="AD88" s="89"/>
      <c r="AE88" s="93"/>
      <c r="AF88" s="90"/>
      <c r="AG88" s="89"/>
      <c r="AH88" s="89"/>
      <c r="AI88" s="90"/>
      <c r="AJ88" s="90"/>
      <c r="AK88" s="90"/>
    </row>
    <row r="89" spans="1:37" s="39" customFormat="1" ht="15" customHeight="1">
      <c r="A89" s="89"/>
      <c r="B89" s="90"/>
      <c r="C89" s="90"/>
      <c r="D89" s="91"/>
      <c r="E89" s="91"/>
      <c r="F89" s="90"/>
      <c r="G89" s="92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3"/>
      <c r="Y89" s="94"/>
      <c r="Z89" s="93"/>
      <c r="AA89" s="93"/>
      <c r="AB89" s="98"/>
      <c r="AC89" s="100"/>
      <c r="AD89" s="89"/>
      <c r="AE89" s="93"/>
      <c r="AF89" s="90"/>
      <c r="AG89" s="89"/>
      <c r="AH89" s="89"/>
      <c r="AI89" s="90"/>
      <c r="AJ89" s="90"/>
      <c r="AK89" s="90"/>
    </row>
    <row r="90" spans="1:37" s="39" customFormat="1" ht="15" customHeight="1">
      <c r="A90" s="89"/>
      <c r="B90" s="90"/>
      <c r="C90" s="90"/>
      <c r="D90" s="91"/>
      <c r="E90" s="91"/>
      <c r="F90" s="90"/>
      <c r="G90" s="92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3"/>
      <c r="Y90" s="94"/>
      <c r="Z90" s="93"/>
      <c r="AA90" s="93"/>
      <c r="AB90" s="98"/>
      <c r="AC90" s="100"/>
      <c r="AD90" s="89"/>
      <c r="AE90" s="93"/>
      <c r="AF90" s="90"/>
      <c r="AG90" s="89"/>
      <c r="AH90" s="89"/>
      <c r="AI90" s="90"/>
      <c r="AJ90" s="90"/>
      <c r="AK90" s="90"/>
    </row>
    <row r="91" spans="1:37" s="39" customFormat="1" ht="15" customHeight="1">
      <c r="A91" s="89"/>
      <c r="B91" s="90"/>
      <c r="C91" s="90"/>
      <c r="D91" s="91"/>
      <c r="E91" s="91"/>
      <c r="F91" s="90"/>
      <c r="G91" s="92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3"/>
      <c r="Y91" s="94"/>
      <c r="Z91" s="93"/>
      <c r="AA91" s="93"/>
      <c r="AB91" s="98"/>
      <c r="AC91" s="100"/>
      <c r="AD91" s="89"/>
      <c r="AE91" s="93"/>
      <c r="AF91" s="90"/>
      <c r="AG91" s="89"/>
      <c r="AH91" s="89"/>
      <c r="AI91" s="90"/>
      <c r="AJ91" s="90"/>
      <c r="AK91" s="90"/>
    </row>
    <row r="92" spans="1:37" s="39" customFormat="1" ht="15" customHeight="1">
      <c r="A92" s="89"/>
      <c r="B92" s="90"/>
      <c r="C92" s="90"/>
      <c r="D92" s="91"/>
      <c r="E92" s="91"/>
      <c r="F92" s="90"/>
      <c r="G92" s="92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3"/>
      <c r="Y92" s="94"/>
      <c r="Z92" s="93"/>
      <c r="AA92" s="93"/>
      <c r="AB92" s="98"/>
      <c r="AC92" s="100"/>
      <c r="AD92" s="89"/>
      <c r="AE92" s="93"/>
      <c r="AF92" s="90"/>
      <c r="AG92" s="89"/>
      <c r="AH92" s="89"/>
      <c r="AI92" s="90"/>
      <c r="AJ92" s="90"/>
      <c r="AK92" s="90"/>
    </row>
    <row r="93" spans="1:37" s="39" customFormat="1" ht="15" customHeight="1">
      <c r="A93" s="89"/>
      <c r="B93" s="90"/>
      <c r="C93" s="90"/>
      <c r="D93" s="91"/>
      <c r="E93" s="91"/>
      <c r="F93" s="90"/>
      <c r="G93" s="92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3"/>
      <c r="Y93" s="94"/>
      <c r="Z93" s="93"/>
      <c r="AA93" s="93"/>
      <c r="AB93" s="98"/>
      <c r="AC93" s="100"/>
      <c r="AD93" s="89"/>
      <c r="AE93" s="93"/>
      <c r="AF93" s="90"/>
      <c r="AG93" s="89"/>
      <c r="AH93" s="89"/>
      <c r="AI93" s="90"/>
      <c r="AJ93" s="90"/>
      <c r="AK93" s="90"/>
    </row>
    <row r="94" spans="1:37" s="39" customFormat="1" ht="15" customHeight="1">
      <c r="A94" s="89"/>
      <c r="B94" s="90"/>
      <c r="C94" s="90"/>
      <c r="D94" s="91"/>
      <c r="E94" s="91"/>
      <c r="F94" s="90"/>
      <c r="G94" s="92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3"/>
      <c r="Y94" s="94"/>
      <c r="Z94" s="93"/>
      <c r="AA94" s="93"/>
      <c r="AB94" s="98"/>
      <c r="AC94" s="100"/>
      <c r="AD94" s="89"/>
      <c r="AE94" s="93"/>
      <c r="AF94" s="90"/>
      <c r="AG94" s="89"/>
      <c r="AH94" s="89"/>
      <c r="AI94" s="90"/>
      <c r="AJ94" s="90"/>
      <c r="AK94" s="90"/>
    </row>
    <row r="95" spans="1:37" s="39" customFormat="1" ht="15" customHeight="1">
      <c r="A95" s="89"/>
      <c r="B95" s="90"/>
      <c r="C95" s="90"/>
      <c r="D95" s="91"/>
      <c r="E95" s="91"/>
      <c r="F95" s="90"/>
      <c r="G95" s="92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3"/>
      <c r="Y95" s="94"/>
      <c r="Z95" s="93"/>
      <c r="AA95" s="93"/>
      <c r="AB95" s="98"/>
      <c r="AC95" s="100"/>
      <c r="AD95" s="89"/>
      <c r="AE95" s="93"/>
      <c r="AF95" s="90"/>
      <c r="AG95" s="89"/>
      <c r="AH95" s="89"/>
      <c r="AI95" s="90"/>
      <c r="AJ95" s="90"/>
      <c r="AK95" s="90"/>
    </row>
    <row r="96" spans="1:37" s="39" customFormat="1" ht="15" customHeight="1">
      <c r="A96" s="89"/>
      <c r="B96" s="90"/>
      <c r="C96" s="90"/>
      <c r="D96" s="91"/>
      <c r="E96" s="91"/>
      <c r="F96" s="90"/>
      <c r="G96" s="92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3"/>
      <c r="Y96" s="94"/>
      <c r="Z96" s="93"/>
      <c r="AA96" s="93"/>
      <c r="AB96" s="98"/>
      <c r="AC96" s="100"/>
      <c r="AD96" s="89"/>
      <c r="AE96" s="93"/>
      <c r="AF96" s="90"/>
      <c r="AG96" s="89"/>
      <c r="AH96" s="89"/>
      <c r="AI96" s="90"/>
      <c r="AJ96" s="90"/>
      <c r="AK96" s="90"/>
    </row>
    <row r="97" spans="1:37" s="39" customFormat="1" ht="15" customHeight="1">
      <c r="A97" s="89"/>
      <c r="B97" s="90"/>
      <c r="C97" s="90"/>
      <c r="D97" s="91"/>
      <c r="E97" s="91"/>
      <c r="F97" s="90"/>
      <c r="G97" s="92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3"/>
      <c r="Y97" s="94"/>
      <c r="Z97" s="93"/>
      <c r="AA97" s="93"/>
      <c r="AB97" s="98"/>
      <c r="AC97" s="100"/>
      <c r="AD97" s="89"/>
      <c r="AE97" s="93"/>
      <c r="AF97" s="90"/>
      <c r="AG97" s="89"/>
      <c r="AH97" s="89"/>
      <c r="AI97" s="90"/>
      <c r="AJ97" s="90"/>
      <c r="AK97" s="90"/>
    </row>
    <row r="98" spans="1:37" s="39" customFormat="1" ht="15" customHeight="1">
      <c r="A98" s="89"/>
      <c r="B98" s="90"/>
      <c r="C98" s="90"/>
      <c r="D98" s="91"/>
      <c r="E98" s="91"/>
      <c r="F98" s="90"/>
      <c r="G98" s="92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3"/>
      <c r="Y98" s="94"/>
      <c r="Z98" s="93"/>
      <c r="AA98" s="93"/>
      <c r="AB98" s="98"/>
      <c r="AC98" s="100"/>
      <c r="AD98" s="89"/>
      <c r="AE98" s="93"/>
      <c r="AF98" s="90"/>
      <c r="AG98" s="89"/>
      <c r="AH98" s="89"/>
      <c r="AI98" s="90"/>
      <c r="AJ98" s="90"/>
      <c r="AK98" s="90"/>
    </row>
    <row r="99" spans="1:37" s="39" customFormat="1" ht="15" customHeight="1">
      <c r="A99" s="89"/>
      <c r="B99" s="90"/>
      <c r="C99" s="90"/>
      <c r="D99" s="91"/>
      <c r="E99" s="91"/>
      <c r="F99" s="90"/>
      <c r="G99" s="92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3"/>
      <c r="Y99" s="94"/>
      <c r="Z99" s="93"/>
      <c r="AA99" s="93"/>
      <c r="AB99" s="98"/>
      <c r="AC99" s="100"/>
      <c r="AD99" s="89"/>
      <c r="AE99" s="93"/>
      <c r="AF99" s="90"/>
      <c r="AG99" s="89"/>
      <c r="AH99" s="89"/>
      <c r="AI99" s="90"/>
      <c r="AJ99" s="90"/>
      <c r="AK99" s="90"/>
    </row>
    <row r="100" spans="1:37" s="39" customFormat="1" ht="15" customHeight="1">
      <c r="A100" s="89"/>
      <c r="B100" s="90"/>
      <c r="C100" s="90"/>
      <c r="D100" s="91"/>
      <c r="E100" s="91"/>
      <c r="F100" s="90"/>
      <c r="G100" s="92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3"/>
      <c r="Y100" s="94"/>
      <c r="Z100" s="93"/>
      <c r="AA100" s="93"/>
      <c r="AB100" s="98"/>
      <c r="AC100" s="100"/>
      <c r="AD100" s="89"/>
      <c r="AE100" s="93"/>
      <c r="AF100" s="90"/>
      <c r="AG100" s="89"/>
      <c r="AH100" s="89"/>
      <c r="AI100" s="90"/>
      <c r="AJ100" s="90"/>
      <c r="AK100" s="90"/>
    </row>
    <row r="101" spans="1:37" s="39" customFormat="1" ht="15" customHeight="1">
      <c r="A101" s="89"/>
      <c r="B101" s="90"/>
      <c r="C101" s="90"/>
      <c r="D101" s="91"/>
      <c r="E101" s="91"/>
      <c r="F101" s="90"/>
      <c r="G101" s="92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3"/>
      <c r="Y101" s="94"/>
      <c r="Z101" s="93"/>
      <c r="AA101" s="93"/>
      <c r="AB101" s="98"/>
      <c r="AC101" s="100"/>
      <c r="AD101" s="89"/>
      <c r="AE101" s="93"/>
      <c r="AF101" s="90"/>
      <c r="AG101" s="89"/>
      <c r="AH101" s="89"/>
      <c r="AI101" s="90"/>
      <c r="AJ101" s="90"/>
      <c r="AK101" s="90"/>
    </row>
    <row r="102" spans="1:37" ht="15" customHeight="1"/>
  </sheetData>
  <sheetProtection formatCells="0" formatColumns="0" formatRows="0" sort="0" autoFilter="0"/>
  <mergeCells count="22">
    <mergeCell ref="A1:I5"/>
    <mergeCell ref="N2:O5"/>
    <mergeCell ref="J2:M5"/>
    <mergeCell ref="R2:S5"/>
    <mergeCell ref="P2:Q5"/>
    <mergeCell ref="J1:O1"/>
    <mergeCell ref="P1:W1"/>
    <mergeCell ref="T2:V5"/>
    <mergeCell ref="W2:W6"/>
    <mergeCell ref="AH2:AH6"/>
    <mergeCell ref="AI1:AK5"/>
    <mergeCell ref="X1:AC1"/>
    <mergeCell ref="Z2:AC2"/>
    <mergeCell ref="AC3:AC6"/>
    <mergeCell ref="AE1:AG1"/>
    <mergeCell ref="AE2:AF5"/>
    <mergeCell ref="AD1:AD6"/>
    <mergeCell ref="Y2:Y6"/>
    <mergeCell ref="X2:X5"/>
    <mergeCell ref="Z3:AA5"/>
    <mergeCell ref="AB3:AB6"/>
    <mergeCell ref="AG2:AG6"/>
  </mergeCells>
  <phoneticPr fontId="4" type="noConversion"/>
  <dataValidations count="9">
    <dataValidation type="date" allowBlank="1" showInputMessage="1" showErrorMessage="1" error="Данный атрибут имеет тип &quot;ДАТА&quot;." sqref="A102:A1048576 AG102:AH1048576" xr:uid="{3F97D9B6-4197-4B8E-BDD6-E8A36ACBD232}">
      <formula1>32874</formula1>
      <formula2>69399</formula2>
    </dataValidation>
    <dataValidation type="whole" allowBlank="1" showInputMessage="1" showErrorMessage="1" sqref="K102:K1048576 G102:G1048576" xr:uid="{DC82CCE0-2D77-49DF-BF1B-EBEA1CC2F720}">
      <formula1>0</formula1>
      <formula2>1000000</formula2>
    </dataValidation>
    <dataValidation type="decimal" allowBlank="1" showInputMessage="1" showErrorMessage="1" sqref="AE102:AE1048576 X102:X1048576 Y10:Y1048576 Z102:AA1048576" xr:uid="{30BDF84F-248F-4C20-870B-1E5EFCB8D274}">
      <formula1>0</formula1>
      <formula2>1000000000</formula2>
    </dataValidation>
    <dataValidation type="date" allowBlank="1" showInputMessage="1" showErrorMessage="1" sqref="AD102:AD1048576" xr:uid="{CF0F226D-FFA3-4593-968D-E96549F0C6C1}">
      <formula1>36892</formula1>
      <formula2>69399</formula2>
    </dataValidation>
    <dataValidation type="custom" showInputMessage="1" showErrorMessage="1" errorTitle="Недопустимая дата" error="Введите настоящую дату (ДД.ММ.ГГ) в диапазоне 01.01.1900–31.12.2099. Текст и числа не принимаются." sqref="A10:A101 AG10:AH101 AD10:AD101" xr:uid="{7B623C0E-30A6-441A-A111-B32004265D0D}">
      <formula1>AND(ISNUMBER(A10),A10=INT(A10),A10&gt;=DATE(1900,1,1),A10&lt;=DATE(2099,12,31))</formula1>
    </dataValidation>
    <dataValidation type="custom" showInputMessage="1" showErrorMessage="1" errorTitle="Требуется строка" error="Введите текст. Числа и даты в это поле вводить нельзя." sqref="AK10:AK101 AF10:AF101 N10:P101 J10:K101 B10:E101" xr:uid="{31403473-B9B3-4B63-A725-9768EFB6399C}">
      <formula1>AND(ISTEXT(B10),ISERROR(--B10))</formula1>
    </dataValidation>
    <dataValidation type="custom" allowBlank="1" showInputMessage="1" showErrorMessage="1" errorTitle="Ручной ввод запрещён" error="Необходимо сделать двойной клик для внесения данных в справочное поле" sqref="F10:F101 AI10:AJ101 H10:I101 Q10:W101 L10:M101 AB10:AC101" xr:uid="{EEF37D3E-92D8-474E-9D2A-6C4FB7CB2CCB}">
      <formula1>FALSE</formula1>
    </dataValidation>
    <dataValidation type="custom" showInputMessage="1" showErrorMessage="1" errorTitle="Требуется целое число" error="Введите целое число. Текст и числа, записанные как текст, не принимаются." sqref="G10:G101" xr:uid="{E5D4FE0F-EE13-4A1D-9758-4A64D24DC8CE}">
      <formula1>AND(ISNUMBER(G10),NOT(ISTEXT(G10)),G10=INT(G10))</formula1>
    </dataValidation>
    <dataValidation type="custom" showInputMessage="1" showErrorMessage="1" errorTitle="Требуется дробное число" error="Введите число не более чем с 2 знаками после запятой. Текст не принимается." sqref="X10:X101 AE10:AE101 Z10:AA101" xr:uid="{69A1D5EA-A6CF-485E-AB06-B3E803B532B3}">
      <formula1>AND(ISNUMBER(X10),NOT(ISTEXT(X10)),ROUND(X10,2)=X10)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АКК СХ_Парам</vt:lpstr>
      <vt:lpstr>АКК СХ_ЭФ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VisioUser</dc:creator>
  <cp:lastModifiedBy>Marina Alexandrova</cp:lastModifiedBy>
  <dcterms:created xsi:type="dcterms:W3CDTF">2026-07-29T11:10:02Z</dcterms:created>
  <dcterms:modified xsi:type="dcterms:W3CDTF">2026-09-24T10:17:34Z</dcterms:modified>
</cp:coreProperties>
</file>